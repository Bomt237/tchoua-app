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python.xml" ContentType="application/vnd.ms-excel.pyth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G:\Mon Drive\ETSNDIMBE\"/>
    </mc:Choice>
  </mc:AlternateContent>
  <xr:revisionPtr revIDLastSave="0" documentId="13_ncr:1_{C797E1FB-A931-412C-B713-1DC7E132FB21}" xr6:coauthVersionLast="47" xr6:coauthVersionMax="47" xr10:uidLastSave="{00000000-0000-0000-0000-000000000000}"/>
  <bookViews>
    <workbookView xWindow="-93" yWindow="-93" windowWidth="25786" windowHeight="15466" tabRatio="894" xr2:uid="{B426460A-43FB-4D62-8EC4-5F72038D9EC6}"/>
  </bookViews>
  <sheets>
    <sheet name="VERSEMENT" sheetId="2" r:id="rId1"/>
    <sheet name="Dashboard" sheetId="12" r:id="rId2"/>
    <sheet name="Membres" sheetId="3" r:id="rId3"/>
    <sheet name="Prêts" sheetId="4" r:id="rId4"/>
    <sheet name="Remboursements" sheetId="5" r:id="rId5"/>
    <sheet name="Paramètres" sheetId="13" r:id="rId6"/>
    <sheet name="Cotisations" sheetId="10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2" i="4" l="1"/>
  <c r="I42" i="4"/>
  <c r="L42" i="4"/>
  <c r="N42" i="4" s="1"/>
  <c r="O42" i="4" s="1"/>
  <c r="Q42" i="4" s="1"/>
  <c r="R42" i="4" s="1"/>
  <c r="T42" i="4" s="1"/>
  <c r="V42" i="4" s="1"/>
  <c r="X42" i="4" s="1"/>
  <c r="J42" i="4" s="1"/>
  <c r="H33" i="4"/>
  <c r="G40" i="4"/>
  <c r="I40" i="4"/>
  <c r="L40" i="4"/>
  <c r="N40" i="4" s="1"/>
  <c r="O40" i="4" s="1"/>
  <c r="Q40" i="4" s="1"/>
  <c r="R40" i="4" s="1"/>
  <c r="T40" i="4" s="1"/>
  <c r="V40" i="4" s="1"/>
  <c r="X40" i="4" s="1"/>
  <c r="J40" i="4" s="1"/>
  <c r="G41" i="4"/>
  <c r="I41" i="4"/>
  <c r="L41" i="4"/>
  <c r="N41" i="4" s="1"/>
  <c r="O41" i="4" s="1"/>
  <c r="Q41" i="4" s="1"/>
  <c r="R41" i="4" s="1"/>
  <c r="T41" i="4" s="1"/>
  <c r="V41" i="4" s="1"/>
  <c r="X41" i="4" s="1"/>
  <c r="J41" i="4" s="1"/>
  <c r="H37" i="4"/>
  <c r="H36" i="4"/>
  <c r="H34" i="4"/>
  <c r="H35" i="4"/>
  <c r="G39" i="4"/>
  <c r="I39" i="4"/>
  <c r="L39" i="4"/>
  <c r="N39" i="4" s="1"/>
  <c r="O39" i="4" s="1"/>
  <c r="Q39" i="4" s="1"/>
  <c r="R39" i="4" s="1"/>
  <c r="T39" i="4" s="1"/>
  <c r="V39" i="4" s="1"/>
  <c r="X39" i="4" s="1"/>
  <c r="J39" i="4" s="1"/>
  <c r="G38" i="4"/>
  <c r="I38" i="4"/>
  <c r="L38" i="4"/>
  <c r="N38" i="4" s="1"/>
  <c r="O38" i="4" s="1"/>
  <c r="Q38" i="4" s="1"/>
  <c r="R38" i="4" s="1"/>
  <c r="T38" i="4" s="1"/>
  <c r="V38" i="4" s="1"/>
  <c r="X38" i="4" s="1"/>
  <c r="J38" i="4" s="1"/>
  <c r="G34" i="4"/>
  <c r="I34" i="4"/>
  <c r="L34" i="4"/>
  <c r="N34" i="4" s="1"/>
  <c r="O34" i="4" s="1"/>
  <c r="Q34" i="4" s="1"/>
  <c r="R34" i="4" s="1"/>
  <c r="T34" i="4" s="1"/>
  <c r="V34" i="4" s="1"/>
  <c r="X34" i="4" s="1"/>
  <c r="J34" i="4" s="1"/>
  <c r="G35" i="4"/>
  <c r="I35" i="4"/>
  <c r="L35" i="4"/>
  <c r="N35" i="4"/>
  <c r="O35" i="4" s="1"/>
  <c r="Q35" i="4" s="1"/>
  <c r="R35" i="4" s="1"/>
  <c r="T35" i="4" s="1"/>
  <c r="V35" i="4" s="1"/>
  <c r="X35" i="4" s="1"/>
  <c r="J35" i="4" s="1"/>
  <c r="G36" i="4"/>
  <c r="I36" i="4"/>
  <c r="L36" i="4"/>
  <c r="N36" i="4" s="1"/>
  <c r="O36" i="4" s="1"/>
  <c r="Q36" i="4" s="1"/>
  <c r="R36" i="4" s="1"/>
  <c r="T36" i="4" s="1"/>
  <c r="V36" i="4" s="1"/>
  <c r="X36" i="4" s="1"/>
  <c r="J36" i="4" s="1"/>
  <c r="G37" i="4"/>
  <c r="I37" i="4"/>
  <c r="L37" i="4"/>
  <c r="N37" i="4" s="1"/>
  <c r="O37" i="4" s="1"/>
  <c r="Q37" i="4" s="1"/>
  <c r="R37" i="4" s="1"/>
  <c r="T37" i="4" s="1"/>
  <c r="V37" i="4" s="1"/>
  <c r="X37" i="4" s="1"/>
  <c r="J37" i="4" s="1"/>
  <c r="H32" i="4"/>
  <c r="H31" i="4"/>
  <c r="I31" i="4"/>
  <c r="H30" i="4"/>
  <c r="I30" i="4"/>
  <c r="H28" i="4"/>
  <c r="I28" i="4"/>
  <c r="G33" i="4"/>
  <c r="I33" i="4"/>
  <c r="L33" i="4"/>
  <c r="N33" i="4" s="1"/>
  <c r="O33" i="4" s="1"/>
  <c r="Q33" i="4" s="1"/>
  <c r="R33" i="4" s="1"/>
  <c r="T33" i="4" s="1"/>
  <c r="V33" i="4" s="1"/>
  <c r="X33" i="4" s="1"/>
  <c r="J33" i="4" s="1"/>
  <c r="H27" i="4"/>
  <c r="G31" i="4"/>
  <c r="L31" i="4"/>
  <c r="N31" i="4"/>
  <c r="O31" i="4"/>
  <c r="Q31" i="4" s="1"/>
  <c r="R31" i="4" s="1"/>
  <c r="T31" i="4" s="1"/>
  <c r="V31" i="4" s="1"/>
  <c r="X31" i="4" s="1"/>
  <c r="J31" i="4" s="1"/>
  <c r="G32" i="4"/>
  <c r="I32" i="4"/>
  <c r="L32" i="4"/>
  <c r="N32" i="4"/>
  <c r="O32" i="4" s="1"/>
  <c r="Q32" i="4" s="1"/>
  <c r="R32" i="4" s="1"/>
  <c r="T32" i="4" s="1"/>
  <c r="V32" i="4" s="1"/>
  <c r="X32" i="4" s="1"/>
  <c r="J32" i="4" s="1"/>
  <c r="H29" i="4"/>
  <c r="H25" i="4"/>
  <c r="G30" i="4"/>
  <c r="L30" i="4"/>
  <c r="N30" i="4"/>
  <c r="O30" i="4"/>
  <c r="Q30" i="4"/>
  <c r="R30" i="4" s="1"/>
  <c r="T30" i="4" s="1"/>
  <c r="V30" i="4" s="1"/>
  <c r="X30" i="4" s="1"/>
  <c r="J30" i="4" s="1"/>
  <c r="G29" i="4"/>
  <c r="I29" i="4"/>
  <c r="L29" i="4"/>
  <c r="N29" i="4" s="1"/>
  <c r="O29" i="4" s="1"/>
  <c r="Q29" i="4" s="1"/>
  <c r="R29" i="4" s="1"/>
  <c r="T29" i="4" s="1"/>
  <c r="V29" i="4" s="1"/>
  <c r="X29" i="4" s="1"/>
  <c r="J29" i="4" s="1"/>
  <c r="H22" i="4"/>
  <c r="G28" i="4"/>
  <c r="H26" i="4"/>
  <c r="H24" i="4"/>
  <c r="H23" i="4"/>
  <c r="I27" i="4"/>
  <c r="L27" i="4"/>
  <c r="N27" i="4" s="1"/>
  <c r="O27" i="4" s="1"/>
  <c r="Q27" i="4" s="1"/>
  <c r="R27" i="4" s="1"/>
  <c r="T27" i="4" s="1"/>
  <c r="V27" i="4" s="1"/>
  <c r="G27" i="4"/>
  <c r="I26" i="4"/>
  <c r="L26" i="4"/>
  <c r="N26" i="4" s="1"/>
  <c r="O26" i="4" s="1"/>
  <c r="Q26" i="4" s="1"/>
  <c r="R26" i="4" s="1"/>
  <c r="T26" i="4" s="1"/>
  <c r="V26" i="4" s="1"/>
  <c r="X26" i="4" s="1"/>
  <c r="J26" i="4" s="1"/>
  <c r="I25" i="4"/>
  <c r="L25" i="4"/>
  <c r="N25" i="4" s="1"/>
  <c r="O25" i="4" s="1"/>
  <c r="Q25" i="4" s="1"/>
  <c r="R25" i="4" s="1"/>
  <c r="T25" i="4" s="1"/>
  <c r="V25" i="4" s="1"/>
  <c r="X25" i="4" s="1"/>
  <c r="J25" i="4" s="1"/>
  <c r="G26" i="4"/>
  <c r="G25" i="4"/>
  <c r="H21" i="4"/>
  <c r="J19" i="4"/>
  <c r="J21" i="4"/>
  <c r="R19" i="4"/>
  <c r="R20" i="4"/>
  <c r="R21" i="4"/>
  <c r="T21" i="4" s="1"/>
  <c r="V21" i="4" s="1"/>
  <c r="X21" i="4" s="1"/>
  <c r="H17" i="4"/>
  <c r="L23" i="4"/>
  <c r="I23" i="4"/>
  <c r="L24" i="4"/>
  <c r="I24" i="4"/>
  <c r="G24" i="4"/>
  <c r="G23" i="4"/>
  <c r="L20" i="4"/>
  <c r="N20" i="4" s="1"/>
  <c r="O20" i="4" s="1"/>
  <c r="Q20" i="4" s="1"/>
  <c r="T20" i="4"/>
  <c r="V20" i="4" s="1"/>
  <c r="X20" i="4" s="1"/>
  <c r="J20" i="4" s="1"/>
  <c r="I21" i="4"/>
  <c r="L21" i="4"/>
  <c r="N21" i="4" s="1"/>
  <c r="O21" i="4" s="1"/>
  <c r="Q21" i="4" s="1"/>
  <c r="I22" i="4"/>
  <c r="L22" i="4"/>
  <c r="N22" i="4" s="1"/>
  <c r="O22" i="4" s="1"/>
  <c r="Q22" i="4" s="1"/>
  <c r="R22" i="4" s="1"/>
  <c r="T22" i="4" s="1"/>
  <c r="V22" i="4" s="1"/>
  <c r="X22" i="4" s="1"/>
  <c r="J22" i="4" s="1"/>
  <c r="G21" i="4"/>
  <c r="G22" i="4"/>
  <c r="H19" i="4"/>
  <c r="G20" i="4"/>
  <c r="U4" i="4"/>
  <c r="V4" i="4" s="1"/>
  <c r="X4" i="4" s="1"/>
  <c r="G4" i="4"/>
  <c r="V10" i="4"/>
  <c r="X10" i="4" s="1"/>
  <c r="I19" i="4"/>
  <c r="B2" i="12"/>
  <c r="C2" i="4"/>
  <c r="B6" i="12" s="1"/>
  <c r="S16" i="4"/>
  <c r="I16" i="4" s="1"/>
  <c r="M18" i="4"/>
  <c r="I18" i="4" s="1"/>
  <c r="M17" i="4"/>
  <c r="N17" i="4" s="1"/>
  <c r="O17" i="4" s="1"/>
  <c r="Q17" i="4" s="1"/>
  <c r="R17" i="4" s="1"/>
  <c r="S15" i="4"/>
  <c r="H15" i="4" s="1"/>
  <c r="S14" i="4"/>
  <c r="S13" i="4"/>
  <c r="H13" i="4" s="1"/>
  <c r="S12" i="4"/>
  <c r="P12" i="4"/>
  <c r="P14" i="4"/>
  <c r="W11" i="4"/>
  <c r="M12" i="4"/>
  <c r="M14" i="4"/>
  <c r="W4" i="4"/>
  <c r="S11" i="4"/>
  <c r="S10" i="4"/>
  <c r="H10" i="4" s="1"/>
  <c r="S9" i="4"/>
  <c r="P9" i="4"/>
  <c r="M11" i="4"/>
  <c r="M9" i="4"/>
  <c r="S8" i="4"/>
  <c r="I8" i="4" s="1"/>
  <c r="P7" i="4"/>
  <c r="P6" i="4"/>
  <c r="P5" i="4"/>
  <c r="M7" i="4"/>
  <c r="M6" i="4"/>
  <c r="M5" i="4"/>
  <c r="I5" i="4" s="1"/>
  <c r="L5" i="4"/>
  <c r="L6" i="4"/>
  <c r="L7" i="4"/>
  <c r="L8" i="4"/>
  <c r="N8" i="4" s="1"/>
  <c r="O8" i="4" s="1"/>
  <c r="Q8" i="4" s="1"/>
  <c r="R8" i="4" s="1"/>
  <c r="L9" i="4"/>
  <c r="L10" i="4"/>
  <c r="N10" i="4" s="1"/>
  <c r="O10" i="4" s="1"/>
  <c r="Q10" i="4" s="1"/>
  <c r="R10" i="4" s="1"/>
  <c r="L11" i="4"/>
  <c r="L12" i="4"/>
  <c r="L13" i="4"/>
  <c r="N13" i="4" s="1"/>
  <c r="O13" i="4" s="1"/>
  <c r="Q13" i="4" s="1"/>
  <c r="R13" i="4" s="1"/>
  <c r="L14" i="4"/>
  <c r="L15" i="4"/>
  <c r="N15" i="4" s="1"/>
  <c r="O15" i="4" s="1"/>
  <c r="Q15" i="4" s="1"/>
  <c r="R15" i="4" s="1"/>
  <c r="L16" i="4"/>
  <c r="N16" i="4" s="1"/>
  <c r="O16" i="4" s="1"/>
  <c r="Q16" i="4" s="1"/>
  <c r="R16" i="4" s="1"/>
  <c r="L17" i="4"/>
  <c r="L18" i="4"/>
  <c r="L19" i="4"/>
  <c r="N19" i="4" s="1"/>
  <c r="O19" i="4" s="1"/>
  <c r="T19" i="4" s="1"/>
  <c r="V19" i="4" s="1"/>
  <c r="X19" i="4" s="1"/>
  <c r="L4" i="4"/>
  <c r="N4" i="4" s="1"/>
  <c r="O4" i="4" s="1"/>
  <c r="Q4" i="4" s="1"/>
  <c r="R4" i="4" s="1"/>
  <c r="T4" i="4" s="1"/>
  <c r="C9" i="3"/>
  <c r="B4" i="12" s="1"/>
  <c r="C2" i="10"/>
  <c r="D2" i="10"/>
  <c r="E2" i="10"/>
  <c r="F2" i="10"/>
  <c r="G2" i="10"/>
  <c r="H2" i="10"/>
  <c r="B2" i="10"/>
  <c r="G19" i="4"/>
  <c r="G18" i="4"/>
  <c r="G17" i="4"/>
  <c r="G16" i="4"/>
  <c r="G15" i="4"/>
  <c r="G11" i="4"/>
  <c r="G12" i="4"/>
  <c r="G13" i="4"/>
  <c r="G14" i="4"/>
  <c r="G10" i="4"/>
  <c r="G8" i="4"/>
  <c r="G9" i="4"/>
  <c r="E7" i="4"/>
  <c r="G7" i="4" s="1"/>
  <c r="E6" i="4"/>
  <c r="G6" i="4" s="1"/>
  <c r="E5" i="4"/>
  <c r="G5" i="4" s="1"/>
  <c r="E4" i="4"/>
  <c r="L28" i="4" l="1"/>
  <c r="N28" i="4" s="1"/>
  <c r="O28" i="4" s="1"/>
  <c r="Q28" i="4" s="1"/>
  <c r="R28" i="4" s="1"/>
  <c r="T28" i="4" s="1"/>
  <c r="V28" i="4" s="1"/>
  <c r="X28" i="4" s="1"/>
  <c r="J28" i="4" s="1"/>
  <c r="B5" i="12"/>
  <c r="H2" i="4"/>
  <c r="X27" i="4"/>
  <c r="J27" i="4" s="1"/>
  <c r="I9" i="4"/>
  <c r="H18" i="4"/>
  <c r="T17" i="4"/>
  <c r="V17" i="4" s="1"/>
  <c r="X17" i="4" s="1"/>
  <c r="J17" i="4" s="1"/>
  <c r="N23" i="4"/>
  <c r="O23" i="4" s="1"/>
  <c r="Q23" i="4" s="1"/>
  <c r="R23" i="4" s="1"/>
  <c r="T23" i="4" s="1"/>
  <c r="V23" i="4" s="1"/>
  <c r="X23" i="4" s="1"/>
  <c r="J23" i="4" s="1"/>
  <c r="N24" i="4"/>
  <c r="O24" i="4" s="1"/>
  <c r="Q24" i="4" s="1"/>
  <c r="R24" i="4" s="1"/>
  <c r="T24" i="4" s="1"/>
  <c r="V24" i="4" s="1"/>
  <c r="X24" i="4" s="1"/>
  <c r="J24" i="4" s="1"/>
  <c r="I20" i="4"/>
  <c r="I6" i="4"/>
  <c r="I7" i="4"/>
  <c r="I13" i="4"/>
  <c r="I14" i="4"/>
  <c r="I12" i="4"/>
  <c r="H8" i="4"/>
  <c r="H6" i="4"/>
  <c r="H5" i="4"/>
  <c r="I17" i="4"/>
  <c r="N11" i="4"/>
  <c r="O11" i="4" s="1"/>
  <c r="Q11" i="4" s="1"/>
  <c r="R11" i="4" s="1"/>
  <c r="T11" i="4" s="1"/>
  <c r="V11" i="4" s="1"/>
  <c r="X11" i="4" s="1"/>
  <c r="H9" i="4"/>
  <c r="I11" i="4"/>
  <c r="H16" i="4"/>
  <c r="H12" i="4"/>
  <c r="I10" i="4"/>
  <c r="I4" i="4"/>
  <c r="H11" i="4"/>
  <c r="I15" i="4"/>
  <c r="H7" i="4"/>
  <c r="H4" i="4"/>
  <c r="J4" i="4"/>
  <c r="T16" i="4"/>
  <c r="N18" i="4"/>
  <c r="O18" i="4" s="1"/>
  <c r="Q18" i="4" s="1"/>
  <c r="R18" i="4" s="1"/>
  <c r="T15" i="4"/>
  <c r="H14" i="4"/>
  <c r="T13" i="4"/>
  <c r="N12" i="4"/>
  <c r="O12" i="4" s="1"/>
  <c r="Q12" i="4" s="1"/>
  <c r="R12" i="4" s="1"/>
  <c r="T12" i="4" s="1"/>
  <c r="N14" i="4"/>
  <c r="O14" i="4" s="1"/>
  <c r="Q14" i="4" s="1"/>
  <c r="R14" i="4" s="1"/>
  <c r="T14" i="4" s="1"/>
  <c r="T8" i="4"/>
  <c r="V8" i="4" s="1"/>
  <c r="X8" i="4" s="1"/>
  <c r="N5" i="4"/>
  <c r="O5" i="4" s="1"/>
  <c r="Q5" i="4" s="1"/>
  <c r="R5" i="4" s="1"/>
  <c r="T5" i="4" s="1"/>
  <c r="V5" i="4" s="1"/>
  <c r="X5" i="4" s="1"/>
  <c r="N9" i="4"/>
  <c r="O9" i="4" s="1"/>
  <c r="Q9" i="4" s="1"/>
  <c r="R9" i="4" s="1"/>
  <c r="T9" i="4" s="1"/>
  <c r="V9" i="4" s="1"/>
  <c r="X9" i="4" s="1"/>
  <c r="N6" i="4"/>
  <c r="O6" i="4" s="1"/>
  <c r="Q6" i="4" s="1"/>
  <c r="R6" i="4" s="1"/>
  <c r="T6" i="4" s="1"/>
  <c r="V6" i="4" s="1"/>
  <c r="X6" i="4" s="1"/>
  <c r="N7" i="4"/>
  <c r="O7" i="4" s="1"/>
  <c r="Q7" i="4" s="1"/>
  <c r="R7" i="4" s="1"/>
  <c r="T7" i="4" s="1"/>
  <c r="V7" i="4" s="1"/>
  <c r="X7" i="4" s="1"/>
  <c r="B10" i="2"/>
  <c r="J2" i="4" l="1"/>
  <c r="V15" i="4"/>
  <c r="X15" i="4" s="1"/>
  <c r="J15" i="4" s="1"/>
  <c r="V16" i="4"/>
  <c r="X16" i="4" s="1"/>
  <c r="J16" i="4" s="1"/>
  <c r="V12" i="4"/>
  <c r="X12" i="4" s="1"/>
  <c r="J12" i="4" s="1"/>
  <c r="V14" i="4"/>
  <c r="X14" i="4" s="1"/>
  <c r="J14" i="4" s="1"/>
  <c r="V13" i="4"/>
  <c r="X13" i="4" s="1"/>
  <c r="J13" i="4" s="1"/>
  <c r="T18" i="4"/>
  <c r="V18" i="4" s="1"/>
  <c r="X18" i="4" s="1"/>
  <c r="J7" i="4"/>
  <c r="J6" i="4"/>
  <c r="I2" i="4"/>
  <c r="B7" i="12" s="1"/>
  <c r="J11" i="4"/>
  <c r="J10" i="4"/>
  <c r="J9" i="4"/>
  <c r="J5" i="4"/>
  <c r="J8" i="4"/>
  <c r="X2" i="4" l="1"/>
  <c r="J18" i="4"/>
  <c r="B8" i="12"/>
  <c r="B9" i="12" s="1"/>
  <c r="D8" i="3"/>
  <c r="E8" i="3" s="1"/>
  <c r="D4" i="3"/>
  <c r="E4" i="3" s="1"/>
  <c r="D3" i="3"/>
  <c r="E3" i="3" s="1"/>
  <c r="D6" i="3"/>
  <c r="E6" i="3" s="1"/>
  <c r="D7" i="3"/>
  <c r="E7" i="3" s="1"/>
  <c r="D5" i="3"/>
  <c r="E5" i="3" s="1"/>
  <c r="D2" i="3"/>
  <c r="E2" i="3" s="1"/>
  <c r="D9" i="3" l="1"/>
  <c r="E9" i="3" s="1"/>
</calcChain>
</file>

<file path=xl/python.xml><?xml version="1.0" encoding="utf-8"?>
<python xmlns="http://schemas.microsoft.com/office/spreadsheetml/2023/python">
  <environmentDefinition id="{882DD1B0-6546-4DFA-8A08-902A380B44EA}">
    <initialization>
      <code xml:space="preserve">import numpy as np
import pandas as pd
import matplotlib.pyplot as plt
import seaborn as sns
import statsmodels as sm
import excel
import warnings
warnings.simplefilter('ignore')
excel.set_xl_scalar_conversion(excel.convert_to_scalar)
excel.set_xl_array_conversion(excel.convert_to_dataframe)
</code>
    </initialization>
  </environmentDefinition>
</python>
</file>

<file path=xl/sharedStrings.xml><?xml version="1.0" encoding="utf-8"?>
<sst xmlns="http://schemas.openxmlformats.org/spreadsheetml/2006/main" count="233" uniqueCount="58">
  <si>
    <t xml:space="preserve">ANDRE SOH </t>
  </si>
  <si>
    <t xml:space="preserve"> PALO VALENTIN </t>
  </si>
  <si>
    <t>WAFFO MAURICE</t>
  </si>
  <si>
    <t>KENDOUM ERNEST</t>
  </si>
  <si>
    <t>TAMPOLLA SERGE</t>
  </si>
  <si>
    <t>FONGANG JEAN NOEL</t>
  </si>
  <si>
    <t>Nom et Prenom</t>
  </si>
  <si>
    <t>Date</t>
  </si>
  <si>
    <t>montant</t>
  </si>
  <si>
    <t>VERSEMENT ETS N'DI MBE</t>
  </si>
  <si>
    <t>TALLA VALENTIN</t>
  </si>
  <si>
    <t>TOTAL VERSEMENT</t>
  </si>
  <si>
    <t xml:space="preserve"> Nom du Membre     </t>
  </si>
  <si>
    <t xml:space="preserve"> Date d'entrée</t>
  </si>
  <si>
    <t xml:space="preserve"> Versement initial    </t>
  </si>
  <si>
    <t xml:space="preserve"> ID Prêt      </t>
  </si>
  <si>
    <t xml:space="preserve"> ID Membre     </t>
  </si>
  <si>
    <t xml:space="preserve"> Montant        </t>
  </si>
  <si>
    <t xml:space="preserve"> Date du prêt     </t>
  </si>
  <si>
    <t xml:space="preserve"> Statut        </t>
  </si>
  <si>
    <t xml:space="preserve"> Montant remboursé</t>
  </si>
  <si>
    <t xml:space="preserve"> Date du remboursement </t>
  </si>
  <si>
    <t>En cours</t>
  </si>
  <si>
    <t>Terminé</t>
  </si>
  <si>
    <t xml:space="preserve"> </t>
  </si>
  <si>
    <t xml:space="preserve"> En retard</t>
  </si>
  <si>
    <t xml:space="preserve">                                          </t>
  </si>
  <si>
    <t xml:space="preserve">              </t>
  </si>
  <si>
    <t xml:space="preserve"> Capital total               </t>
  </si>
  <si>
    <t xml:space="preserve"> Prêts en cours              </t>
  </si>
  <si>
    <t xml:space="preserve"> Remboursements reçus        </t>
  </si>
  <si>
    <t xml:space="preserve"> Intérêts générés            </t>
  </si>
  <si>
    <t xml:space="preserve"> Solde disponible            </t>
  </si>
  <si>
    <t xml:space="preserve">                             </t>
  </si>
  <si>
    <t xml:space="preserve"> Durée </t>
  </si>
  <si>
    <t xml:space="preserve"> Taux</t>
  </si>
  <si>
    <t xml:space="preserve">échéance  </t>
  </si>
  <si>
    <t>Cotisation</t>
  </si>
  <si>
    <t>1 er Mois</t>
  </si>
  <si>
    <t>2eme Mois</t>
  </si>
  <si>
    <t>3eme Mois</t>
  </si>
  <si>
    <t>Retart</t>
  </si>
  <si>
    <t>Attendu</t>
  </si>
  <si>
    <t>Rembourse</t>
  </si>
  <si>
    <t>Solde</t>
  </si>
  <si>
    <t>Interet</t>
  </si>
  <si>
    <t>Total Rmbs</t>
  </si>
  <si>
    <t xml:space="preserve">TABLEAU DE BORD   </t>
  </si>
  <si>
    <t>Date de mise à jour :</t>
  </si>
  <si>
    <t>Résumé financier</t>
  </si>
  <si>
    <t>Prét cumulé</t>
  </si>
  <si>
    <t>Encours</t>
  </si>
  <si>
    <t xml:space="preserve">Situation des Prets </t>
  </si>
  <si>
    <t xml:space="preserve"> ID  </t>
  </si>
  <si>
    <t xml:space="preserve">Gain Intérêt </t>
  </si>
  <si>
    <t>Capital cumulé</t>
  </si>
  <si>
    <t>Situation des Remboursements</t>
  </si>
  <si>
    <t xml:space="preserve">Membre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</si>
</sst>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C]d\-mmm\-yy;@"/>
  </numFmts>
  <fonts count="15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202124"/>
      <name val="Arial"/>
      <family val="2"/>
    </font>
    <font>
      <b/>
      <sz val="11"/>
      <name val="Aptos Narrow"/>
      <family val="2"/>
      <scheme val="minor"/>
    </font>
    <font>
      <b/>
      <sz val="14"/>
      <color rgb="FF202124"/>
      <name val="Arial"/>
      <family val="2"/>
    </font>
    <font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5"/>
      <color rgb="FF374151"/>
      <name val="Arial"/>
      <family val="2"/>
    </font>
    <font>
      <sz val="11"/>
      <color rgb="FF0070C0"/>
      <name val="Aptos Narrow"/>
      <family val="2"/>
      <scheme val="minor"/>
    </font>
    <font>
      <sz val="11"/>
      <color rgb="FF00B050"/>
      <name val="Aptos Narrow"/>
      <family val="2"/>
      <scheme val="minor"/>
    </font>
    <font>
      <sz val="11"/>
      <color theme="4"/>
      <name val="Aptos Narrow"/>
      <family val="2"/>
      <scheme val="minor"/>
    </font>
    <font>
      <sz val="11"/>
      <color rgb="FFC00000"/>
      <name val="Aptos Narrow"/>
      <family val="2"/>
      <scheme val="minor"/>
    </font>
    <font>
      <b/>
      <sz val="11"/>
      <color theme="8" tint="-0.499984740745262"/>
      <name val="Aptos Narrow"/>
      <family val="2"/>
      <scheme val="minor"/>
    </font>
    <font>
      <b/>
      <sz val="11"/>
      <color theme="9" tint="-0.499984740745262"/>
      <name val="Aptos Narrow"/>
      <family val="2"/>
      <scheme val="minor"/>
    </font>
    <font>
      <sz val="11"/>
      <color theme="9" tint="-0.499984740745262"/>
      <name val="Aptos Narrow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7C80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9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60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164" fontId="2" fillId="0" borderId="1" xfId="0" applyNumberFormat="1" applyFont="1" applyBorder="1"/>
    <xf numFmtId="3" fontId="0" fillId="0" borderId="1" xfId="0" applyNumberFormat="1" applyBorder="1"/>
    <xf numFmtId="14" fontId="0" fillId="0" borderId="1" xfId="0" applyNumberFormat="1" applyBorder="1"/>
    <xf numFmtId="0" fontId="1" fillId="3" borderId="1" xfId="0" applyFont="1" applyFill="1" applyBorder="1" applyAlignment="1">
      <alignment horizontal="center"/>
    </xf>
    <xf numFmtId="3" fontId="1" fillId="0" borderId="1" xfId="0" applyNumberFormat="1" applyFont="1" applyBorder="1"/>
    <xf numFmtId="9" fontId="0" fillId="0" borderId="1" xfId="0" applyNumberFormat="1" applyBorder="1"/>
    <xf numFmtId="0" fontId="1" fillId="0" borderId="0" xfId="0" applyFont="1" applyAlignment="1">
      <alignment horizontal="center"/>
    </xf>
    <xf numFmtId="3" fontId="0" fillId="0" borderId="0" xfId="0" applyNumberFormat="1"/>
    <xf numFmtId="164" fontId="2" fillId="0" borderId="0" xfId="0" applyNumberFormat="1" applyFont="1"/>
    <xf numFmtId="0" fontId="7" fillId="0" borderId="0" xfId="0" applyFont="1"/>
    <xf numFmtId="9" fontId="0" fillId="0" borderId="0" xfId="0" applyNumberFormat="1"/>
    <xf numFmtId="164" fontId="0" fillId="0" borderId="0" xfId="0" applyNumberFormat="1"/>
    <xf numFmtId="0" fontId="1" fillId="5" borderId="0" xfId="0" applyFont="1" applyFill="1" applyAlignment="1">
      <alignment horizontal="center"/>
    </xf>
    <xf numFmtId="0" fontId="1" fillId="6" borderId="0" xfId="0" applyFont="1" applyFill="1"/>
    <xf numFmtId="3" fontId="1" fillId="6" borderId="0" xfId="0" applyNumberFormat="1" applyFont="1" applyFill="1"/>
    <xf numFmtId="164" fontId="0" fillId="0" borderId="1" xfId="0" applyNumberFormat="1" applyBorder="1"/>
    <xf numFmtId="0" fontId="1" fillId="7" borderId="1" xfId="0" applyFont="1" applyFill="1" applyBorder="1" applyAlignment="1">
      <alignment horizontal="center"/>
    </xf>
    <xf numFmtId="0" fontId="0" fillId="7" borderId="0" xfId="0" applyFill="1"/>
    <xf numFmtId="0" fontId="0" fillId="8" borderId="0" xfId="0" applyFill="1"/>
    <xf numFmtId="3" fontId="0" fillId="9" borderId="1" xfId="0" applyNumberFormat="1" applyFill="1" applyBorder="1"/>
    <xf numFmtId="0" fontId="0" fillId="9" borderId="0" xfId="0" applyFill="1"/>
    <xf numFmtId="3" fontId="0" fillId="10" borderId="1" xfId="0" applyNumberFormat="1" applyFill="1" applyBorder="1"/>
    <xf numFmtId="0" fontId="0" fillId="10" borderId="0" xfId="0" applyFill="1"/>
    <xf numFmtId="3" fontId="8" fillId="7" borderId="1" xfId="0" applyNumberFormat="1" applyFont="1" applyFill="1" applyBorder="1"/>
    <xf numFmtId="3" fontId="9" fillId="7" borderId="1" xfId="0" applyNumberFormat="1" applyFont="1" applyFill="1" applyBorder="1"/>
    <xf numFmtId="3" fontId="5" fillId="7" borderId="1" xfId="0" applyNumberFormat="1" applyFont="1" applyFill="1" applyBorder="1"/>
    <xf numFmtId="3" fontId="10" fillId="8" borderId="1" xfId="0" applyNumberFormat="1" applyFont="1" applyFill="1" applyBorder="1"/>
    <xf numFmtId="3" fontId="9" fillId="8" borderId="1" xfId="0" applyNumberFormat="1" applyFont="1" applyFill="1" applyBorder="1"/>
    <xf numFmtId="3" fontId="11" fillId="8" borderId="1" xfId="0" applyNumberFormat="1" applyFont="1" applyFill="1" applyBorder="1"/>
    <xf numFmtId="0" fontId="1" fillId="10" borderId="1" xfId="0" applyFont="1" applyFill="1" applyBorder="1"/>
    <xf numFmtId="0" fontId="3" fillId="8" borderId="1" xfId="0" applyFont="1" applyFill="1" applyBorder="1" applyAlignment="1">
      <alignment horizontal="center"/>
    </xf>
    <xf numFmtId="0" fontId="3" fillId="9" borderId="1" xfId="0" applyFont="1" applyFill="1" applyBorder="1" applyAlignment="1">
      <alignment horizontal="center"/>
    </xf>
    <xf numFmtId="0" fontId="3" fillId="10" borderId="1" xfId="0" applyFont="1" applyFill="1" applyBorder="1" applyAlignment="1">
      <alignment horizontal="center"/>
    </xf>
    <xf numFmtId="3" fontId="11" fillId="9" borderId="1" xfId="0" applyNumberFormat="1" applyFont="1" applyFill="1" applyBorder="1"/>
    <xf numFmtId="3" fontId="1" fillId="2" borderId="1" xfId="0" applyNumberFormat="1" applyFont="1" applyFill="1" applyBorder="1"/>
    <xf numFmtId="3" fontId="1" fillId="4" borderId="1" xfId="0" applyNumberFormat="1" applyFont="1" applyFill="1" applyBorder="1"/>
    <xf numFmtId="0" fontId="1" fillId="11" borderId="1" xfId="0" applyFont="1" applyFill="1" applyBorder="1" applyAlignment="1">
      <alignment horizontal="center"/>
    </xf>
    <xf numFmtId="3" fontId="1" fillId="11" borderId="1" xfId="0" applyNumberFormat="1" applyFont="1" applyFill="1" applyBorder="1" applyAlignment="1">
      <alignment horizontal="center"/>
    </xf>
    <xf numFmtId="3" fontId="12" fillId="0" borderId="1" xfId="0" applyNumberFormat="1" applyFont="1" applyBorder="1"/>
    <xf numFmtId="0" fontId="1" fillId="11" borderId="1" xfId="0" applyFont="1" applyFill="1" applyBorder="1"/>
    <xf numFmtId="0" fontId="0" fillId="11" borderId="1" xfId="0" applyFill="1" applyBorder="1"/>
    <xf numFmtId="3" fontId="13" fillId="0" borderId="1" xfId="0" applyNumberFormat="1" applyFont="1" applyBorder="1"/>
    <xf numFmtId="0" fontId="1" fillId="11" borderId="2" xfId="0" applyFont="1" applyFill="1" applyBorder="1" applyAlignment="1">
      <alignment horizontal="center"/>
    </xf>
    <xf numFmtId="4" fontId="14" fillId="4" borderId="1" xfId="0" applyNumberFormat="1" applyFont="1" applyFill="1" applyBorder="1"/>
    <xf numFmtId="4" fontId="13" fillId="4" borderId="1" xfId="0" applyNumberFormat="1" applyFont="1" applyFill="1" applyBorder="1"/>
    <xf numFmtId="3" fontId="1" fillId="12" borderId="1" xfId="0" applyNumberFormat="1" applyFont="1" applyFill="1" applyBorder="1"/>
    <xf numFmtId="3" fontId="0" fillId="12" borderId="1" xfId="0" applyNumberFormat="1" applyFill="1" applyBorder="1"/>
    <xf numFmtId="3" fontId="1" fillId="10" borderId="1" xfId="0" applyNumberFormat="1" applyFont="1" applyFill="1" applyBorder="1"/>
    <xf numFmtId="0" fontId="0" fillId="0" borderId="2" xfId="0" applyBorder="1"/>
    <xf numFmtId="0" fontId="1" fillId="7" borderId="1" xfId="0" applyFont="1" applyFill="1" applyBorder="1" applyAlignment="1">
      <alignment horizontal="center"/>
    </xf>
    <xf numFmtId="0" fontId="1" fillId="8" borderId="1" xfId="0" applyFont="1" applyFill="1" applyBorder="1" applyAlignment="1">
      <alignment horizontal="center"/>
    </xf>
    <xf numFmtId="0" fontId="1" fillId="9" borderId="1" xfId="0" applyFont="1" applyFill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7" borderId="3" xfId="0" applyFont="1" applyFill="1" applyBorder="1" applyAlignment="1">
      <alignment horizontal="center"/>
    </xf>
    <xf numFmtId="0" fontId="1" fillId="0" borderId="0" xfId="0" applyFont="1" applyAlignment="1">
      <alignment horizontal="center"/>
    </xf>
    <xf numFmtId="3" fontId="4" fillId="0" borderId="1" xfId="0" applyNumberFormat="1" applyFont="1" applyBorder="1" applyAlignment="1">
      <alignment horizontal="center"/>
    </xf>
    <xf numFmtId="0" fontId="4" fillId="0" borderId="1" xfId="0" applyFont="1" applyBorder="1" applyAlignment="1">
      <alignment horizontal="center"/>
    </xf>
  </cellXfs>
  <cellStyles count="1">
    <cellStyle name="Normal" xfId="0" builtinId="0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7C8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23/09/relationships/Python" Target="pyth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623B-FA14-4A38-BA4D-E6FE40EEFE3A}">
  <dimension ref="A1:C10"/>
  <sheetViews>
    <sheetView tabSelected="1" workbookViewId="0">
      <selection activeCell="B3" sqref="B3"/>
    </sheetView>
  </sheetViews>
  <sheetFormatPr baseColWidth="10" defaultRowHeight="14.35" x14ac:dyDescent="0.5"/>
  <cols>
    <col min="1" max="1" width="27.41015625" customWidth="1"/>
    <col min="2" max="2" width="15.703125" customWidth="1"/>
  </cols>
  <sheetData>
    <row r="1" spans="1:3" x14ac:dyDescent="0.5">
      <c r="A1" s="57" t="s">
        <v>9</v>
      </c>
      <c r="B1" s="57"/>
      <c r="C1" s="57"/>
    </row>
    <row r="2" spans="1:3" x14ac:dyDescent="0.5">
      <c r="A2" s="6" t="s">
        <v>6</v>
      </c>
      <c r="B2" s="6" t="s">
        <v>7</v>
      </c>
      <c r="C2" s="6" t="s">
        <v>8</v>
      </c>
    </row>
    <row r="3" spans="1:3" x14ac:dyDescent="0.5">
      <c r="A3" s="2" t="s">
        <v>0</v>
      </c>
      <c r="B3" s="3">
        <v>44867</v>
      </c>
      <c r="C3" s="4">
        <v>1000000</v>
      </c>
    </row>
    <row r="4" spans="1:3" x14ac:dyDescent="0.5">
      <c r="A4" s="2" t="s">
        <v>1</v>
      </c>
      <c r="B4" s="3">
        <v>44893</v>
      </c>
      <c r="C4" s="4">
        <v>1000000</v>
      </c>
    </row>
    <row r="5" spans="1:3" x14ac:dyDescent="0.5">
      <c r="A5" s="2" t="s">
        <v>2</v>
      </c>
      <c r="B5" s="3">
        <v>44893</v>
      </c>
      <c r="C5" s="4">
        <v>1000000</v>
      </c>
    </row>
    <row r="6" spans="1:3" x14ac:dyDescent="0.5">
      <c r="A6" s="2" t="s">
        <v>3</v>
      </c>
      <c r="B6" s="3">
        <v>44895</v>
      </c>
      <c r="C6" s="4">
        <v>1000000</v>
      </c>
    </row>
    <row r="7" spans="1:3" x14ac:dyDescent="0.5">
      <c r="A7" s="2" t="s">
        <v>4</v>
      </c>
      <c r="B7" s="3">
        <v>44904</v>
      </c>
      <c r="C7" s="4">
        <v>1000000</v>
      </c>
    </row>
    <row r="8" spans="1:3" x14ac:dyDescent="0.5">
      <c r="A8" s="2" t="s">
        <v>5</v>
      </c>
      <c r="B8" s="3">
        <v>44953</v>
      </c>
      <c r="C8" s="4">
        <v>2000000</v>
      </c>
    </row>
    <row r="9" spans="1:3" x14ac:dyDescent="0.5">
      <c r="A9" s="2" t="s">
        <v>10</v>
      </c>
      <c r="B9" s="3">
        <v>45362</v>
      </c>
      <c r="C9" s="4">
        <v>1000000</v>
      </c>
    </row>
    <row r="10" spans="1:3" ht="17.7" x14ac:dyDescent="0.55000000000000004">
      <c r="A10" s="1" t="s">
        <v>11</v>
      </c>
      <c r="B10" s="58">
        <f>SUM(C3:C9)</f>
        <v>8000000</v>
      </c>
      <c r="C10" s="59"/>
    </row>
  </sheetData>
  <mergeCells count="2">
    <mergeCell ref="A1:C1"/>
    <mergeCell ref="B10:C10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567074-2E52-4A5E-8C07-8EFE868DF030}">
  <dimension ref="A1:D10"/>
  <sheetViews>
    <sheetView workbookViewId="0">
      <selection sqref="A1:B9"/>
    </sheetView>
  </sheetViews>
  <sheetFormatPr baseColWidth="10" defaultRowHeight="14.35" x14ac:dyDescent="0.5"/>
  <cols>
    <col min="1" max="1" width="28.17578125" customWidth="1"/>
    <col min="2" max="2" width="20.29296875" customWidth="1"/>
  </cols>
  <sheetData>
    <row r="1" spans="1:4" x14ac:dyDescent="0.5">
      <c r="A1" s="42" t="s">
        <v>47</v>
      </c>
      <c r="B1" s="2" t="s">
        <v>26</v>
      </c>
      <c r="C1" t="s">
        <v>27</v>
      </c>
      <c r="D1" t="s">
        <v>27</v>
      </c>
    </row>
    <row r="2" spans="1:4" x14ac:dyDescent="0.5">
      <c r="A2" s="43" t="s">
        <v>48</v>
      </c>
      <c r="B2" s="5">
        <f ca="1">TODAY()</f>
        <v>46140</v>
      </c>
      <c r="C2" t="s">
        <v>27</v>
      </c>
      <c r="D2" t="s">
        <v>27</v>
      </c>
    </row>
    <row r="3" spans="1:4" x14ac:dyDescent="0.5">
      <c r="A3" s="42" t="s">
        <v>49</v>
      </c>
      <c r="B3" s="2" t="s">
        <v>26</v>
      </c>
      <c r="C3" t="s">
        <v>27</v>
      </c>
      <c r="D3" t="s">
        <v>27</v>
      </c>
    </row>
    <row r="4" spans="1:4" x14ac:dyDescent="0.5">
      <c r="A4" s="43" t="s">
        <v>28</v>
      </c>
      <c r="B4" s="4">
        <f>Membres!C9</f>
        <v>8000000</v>
      </c>
      <c r="C4" t="s">
        <v>27</v>
      </c>
      <c r="D4" t="s">
        <v>27</v>
      </c>
    </row>
    <row r="5" spans="1:4" x14ac:dyDescent="0.5">
      <c r="A5" s="43" t="s">
        <v>29</v>
      </c>
      <c r="B5" s="2">
        <f>SUMIF(Prêts!K:K,"En cours",Prêts!C:C)</f>
        <v>11500000</v>
      </c>
      <c r="C5" t="s">
        <v>27</v>
      </c>
      <c r="D5" t="s">
        <v>27</v>
      </c>
    </row>
    <row r="6" spans="1:4" x14ac:dyDescent="0.5">
      <c r="A6" s="43" t="s">
        <v>50</v>
      </c>
      <c r="B6" s="4">
        <f>Prêts!C2</f>
        <v>28860000</v>
      </c>
    </row>
    <row r="7" spans="1:4" x14ac:dyDescent="0.5">
      <c r="A7" s="43" t="s">
        <v>30</v>
      </c>
      <c r="B7" s="4">
        <f>Prêts!I2</f>
        <v>30733500</v>
      </c>
      <c r="C7" t="s">
        <v>27</v>
      </c>
      <c r="D7" t="s">
        <v>27</v>
      </c>
    </row>
    <row r="8" spans="1:4" x14ac:dyDescent="0.5">
      <c r="A8" s="43" t="s">
        <v>31</v>
      </c>
      <c r="B8" s="4">
        <f>Prêts!H2</f>
        <v>4023499</v>
      </c>
      <c r="C8" t="s">
        <v>27</v>
      </c>
      <c r="D8" t="s">
        <v>27</v>
      </c>
    </row>
    <row r="9" spans="1:4" x14ac:dyDescent="0.5">
      <c r="A9" s="43" t="s">
        <v>32</v>
      </c>
      <c r="B9" s="44">
        <f>B4+B8-B5</f>
        <v>523499</v>
      </c>
      <c r="C9" t="s">
        <v>27</v>
      </c>
      <c r="D9" t="s">
        <v>27</v>
      </c>
    </row>
    <row r="10" spans="1:4" x14ac:dyDescent="0.5">
      <c r="A10" t="s">
        <v>33</v>
      </c>
      <c r="B10" t="s">
        <v>26</v>
      </c>
      <c r="C10" t="s">
        <v>27</v>
      </c>
      <c r="D10" t="s">
        <v>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B23080-0722-4E86-8101-15E1F6167D30}">
  <dimension ref="A1:E9"/>
  <sheetViews>
    <sheetView workbookViewId="0">
      <selection activeCell="D7" sqref="D7"/>
    </sheetView>
  </sheetViews>
  <sheetFormatPr baseColWidth="10" defaultRowHeight="14.35" x14ac:dyDescent="0.5"/>
  <cols>
    <col min="1" max="1" width="18.87890625" customWidth="1"/>
    <col min="2" max="2" width="26.5859375" customWidth="1"/>
    <col min="3" max="3" width="14" customWidth="1"/>
    <col min="4" max="4" width="23.41015625" customWidth="1"/>
    <col min="5" max="5" width="16.76171875" customWidth="1"/>
  </cols>
  <sheetData>
    <row r="1" spans="1:5" x14ac:dyDescent="0.5">
      <c r="A1" s="39" t="s">
        <v>12</v>
      </c>
      <c r="B1" s="39" t="s">
        <v>13</v>
      </c>
      <c r="C1" s="39" t="s">
        <v>14</v>
      </c>
      <c r="D1" s="39" t="s">
        <v>54</v>
      </c>
      <c r="E1" s="45" t="s">
        <v>55</v>
      </c>
    </row>
    <row r="2" spans="1:5" x14ac:dyDescent="0.5">
      <c r="A2" s="2" t="s">
        <v>0</v>
      </c>
      <c r="B2" s="3">
        <v>44867</v>
      </c>
      <c r="C2" s="4">
        <v>1000000</v>
      </c>
      <c r="D2" s="46">
        <f>C2*Prêts!H2/C9</f>
        <v>502937.375</v>
      </c>
      <c r="E2" s="49">
        <f>C2+D2</f>
        <v>1502937.375</v>
      </c>
    </row>
    <row r="3" spans="1:5" x14ac:dyDescent="0.5">
      <c r="A3" s="2" t="s">
        <v>1</v>
      </c>
      <c r="B3" s="3">
        <v>44893</v>
      </c>
      <c r="C3" s="4">
        <v>1000000</v>
      </c>
      <c r="D3" s="46">
        <f>C3*Prêts!H2/C9</f>
        <v>502937.375</v>
      </c>
      <c r="E3" s="49">
        <f t="shared" ref="E3:E9" si="0">C3+D3</f>
        <v>1502937.375</v>
      </c>
    </row>
    <row r="4" spans="1:5" x14ac:dyDescent="0.5">
      <c r="A4" s="2" t="s">
        <v>2</v>
      </c>
      <c r="B4" s="3">
        <v>44893</v>
      </c>
      <c r="C4" s="4">
        <v>1000000</v>
      </c>
      <c r="D4" s="46">
        <f>C4*Prêts!H2/C9</f>
        <v>502937.375</v>
      </c>
      <c r="E4" s="49">
        <f t="shared" si="0"/>
        <v>1502937.375</v>
      </c>
    </row>
    <row r="5" spans="1:5" x14ac:dyDescent="0.5">
      <c r="A5" s="2" t="s">
        <v>3</v>
      </c>
      <c r="B5" s="3">
        <v>44895</v>
      </c>
      <c r="C5" s="4">
        <v>1000000</v>
      </c>
      <c r="D5" s="46">
        <f>C5*Prêts!H2/C9</f>
        <v>502937.375</v>
      </c>
      <c r="E5" s="49">
        <f t="shared" si="0"/>
        <v>1502937.375</v>
      </c>
    </row>
    <row r="6" spans="1:5" x14ac:dyDescent="0.5">
      <c r="A6" s="2" t="s">
        <v>4</v>
      </c>
      <c r="B6" s="3">
        <v>44904</v>
      </c>
      <c r="C6" s="4">
        <v>1000000</v>
      </c>
      <c r="D6" s="46">
        <f>C6*Prêts!H2/C9</f>
        <v>502937.375</v>
      </c>
      <c r="E6" s="49">
        <f t="shared" si="0"/>
        <v>1502937.375</v>
      </c>
    </row>
    <row r="7" spans="1:5" x14ac:dyDescent="0.5">
      <c r="A7" s="2" t="s">
        <v>5</v>
      </c>
      <c r="B7" s="3">
        <v>44953</v>
      </c>
      <c r="C7" s="4">
        <v>2000000</v>
      </c>
      <c r="D7" s="46">
        <f>C7*Prêts!H2/C9</f>
        <v>1005874.75</v>
      </c>
      <c r="E7" s="49">
        <f t="shared" si="0"/>
        <v>3005874.75</v>
      </c>
    </row>
    <row r="8" spans="1:5" x14ac:dyDescent="0.5">
      <c r="A8" s="2" t="s">
        <v>10</v>
      </c>
      <c r="B8" s="3">
        <v>45362</v>
      </c>
      <c r="C8" s="4">
        <v>1000000</v>
      </c>
      <c r="D8" s="46">
        <f>C8*Prêts!H2/C9</f>
        <v>502937.375</v>
      </c>
      <c r="E8" s="49">
        <f t="shared" si="0"/>
        <v>1502937.375</v>
      </c>
    </row>
    <row r="9" spans="1:5" x14ac:dyDescent="0.5">
      <c r="A9" s="2"/>
      <c r="B9" s="2"/>
      <c r="C9" s="7">
        <f>SUM(C2:C8)</f>
        <v>8000000</v>
      </c>
      <c r="D9" s="47">
        <f>SUM(D2:D8)</f>
        <v>4023499</v>
      </c>
      <c r="E9" s="48">
        <f t="shared" si="0"/>
        <v>12023499</v>
      </c>
    </row>
  </sheetData>
  <phoneticPr fontId="6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47687D-CD36-4895-830D-B076BA33A6F2}">
  <dimension ref="A1:Z87"/>
  <sheetViews>
    <sheetView showWhiteSpace="0" topLeftCell="A13" zoomScaleNormal="100" workbookViewId="0">
      <selection activeCell="A40" sqref="A40:XFD40"/>
    </sheetView>
  </sheetViews>
  <sheetFormatPr baseColWidth="10" defaultRowHeight="14.35" x14ac:dyDescent="0.5"/>
  <cols>
    <col min="1" max="1" width="3.5859375" customWidth="1"/>
    <col min="2" max="2" width="20.703125" customWidth="1"/>
    <col min="3" max="3" width="11.41015625" style="10" customWidth="1"/>
    <col min="4" max="4" width="11.52734375" customWidth="1"/>
    <col min="5" max="5" width="6.17578125" customWidth="1"/>
    <col min="6" max="6" width="5.76171875" customWidth="1"/>
    <col min="7" max="7" width="12.703125" customWidth="1"/>
    <col min="8" max="8" width="12" customWidth="1"/>
    <col min="9" max="9" width="13.05859375" customWidth="1"/>
    <col min="10" max="10" width="11.64453125" customWidth="1"/>
    <col min="11" max="11" width="9.05859375" customWidth="1"/>
    <col min="12" max="14" width="10.8203125" style="20"/>
    <col min="15" max="17" width="10.8203125" style="21"/>
    <col min="18" max="20" width="10.8203125" style="23"/>
    <col min="21" max="21" width="6" style="25" customWidth="1"/>
    <col min="22" max="22" width="9.29296875" style="25" customWidth="1"/>
    <col min="23" max="23" width="10.8203125" style="25"/>
    <col min="24" max="24" width="9.52734375" style="25" customWidth="1"/>
  </cols>
  <sheetData>
    <row r="1" spans="1:26" x14ac:dyDescent="0.5">
      <c r="A1" s="55" t="s">
        <v>52</v>
      </c>
      <c r="B1" s="55"/>
      <c r="C1" s="55"/>
      <c r="D1" s="55"/>
      <c r="E1" s="55"/>
      <c r="F1" s="55"/>
      <c r="G1" s="55"/>
      <c r="H1" s="55"/>
      <c r="I1" s="55"/>
      <c r="J1" s="55"/>
      <c r="K1" s="55"/>
      <c r="L1" s="56" t="s">
        <v>56</v>
      </c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</row>
    <row r="2" spans="1:26" x14ac:dyDescent="0.5">
      <c r="A2" s="2"/>
      <c r="B2" s="2"/>
      <c r="C2" s="37">
        <f t="shared" ref="C2" si="0">SUM(C4:C19)</f>
        <v>28860000</v>
      </c>
      <c r="D2" s="7"/>
      <c r="E2" s="7"/>
      <c r="F2" s="7"/>
      <c r="G2" s="7"/>
      <c r="H2" s="37">
        <f>SUM(H4:H40)</f>
        <v>4023499</v>
      </c>
      <c r="I2" s="37">
        <f>SUM(I4:I19)</f>
        <v>30733500</v>
      </c>
      <c r="J2" s="38">
        <f>SUM(J4:J34)</f>
        <v>90082.717224320164</v>
      </c>
      <c r="K2" s="2"/>
      <c r="L2" s="52" t="s">
        <v>38</v>
      </c>
      <c r="M2" s="52"/>
      <c r="N2" s="52"/>
      <c r="O2" s="53" t="s">
        <v>39</v>
      </c>
      <c r="P2" s="53"/>
      <c r="Q2" s="53"/>
      <c r="R2" s="54" t="s">
        <v>40</v>
      </c>
      <c r="S2" s="54"/>
      <c r="T2" s="54"/>
      <c r="U2" s="32"/>
      <c r="V2" s="32"/>
      <c r="W2" s="32"/>
      <c r="X2" s="50">
        <f>SUM(X4:X19)</f>
        <v>9860.0135680001695</v>
      </c>
    </row>
    <row r="3" spans="1:26" x14ac:dyDescent="0.5">
      <c r="A3" s="39" t="s">
        <v>15</v>
      </c>
      <c r="B3" s="39" t="s">
        <v>16</v>
      </c>
      <c r="C3" s="40" t="s">
        <v>17</v>
      </c>
      <c r="D3" s="39" t="s">
        <v>18</v>
      </c>
      <c r="E3" s="39" t="s">
        <v>34</v>
      </c>
      <c r="F3" s="39" t="s">
        <v>35</v>
      </c>
      <c r="G3" s="39" t="s">
        <v>36</v>
      </c>
      <c r="H3" s="39" t="s">
        <v>45</v>
      </c>
      <c r="I3" s="39" t="s">
        <v>46</v>
      </c>
      <c r="J3" s="39" t="s">
        <v>51</v>
      </c>
      <c r="K3" s="39" t="s">
        <v>19</v>
      </c>
      <c r="L3" s="19" t="s">
        <v>42</v>
      </c>
      <c r="M3" s="19" t="s">
        <v>43</v>
      </c>
      <c r="N3" s="19" t="s">
        <v>44</v>
      </c>
      <c r="O3" s="33" t="s">
        <v>42</v>
      </c>
      <c r="P3" s="33" t="s">
        <v>43</v>
      </c>
      <c r="Q3" s="33" t="s">
        <v>44</v>
      </c>
      <c r="R3" s="34" t="s">
        <v>42</v>
      </c>
      <c r="S3" s="34" t="s">
        <v>43</v>
      </c>
      <c r="T3" s="34" t="s">
        <v>44</v>
      </c>
      <c r="U3" s="35" t="s">
        <v>41</v>
      </c>
      <c r="V3" s="35"/>
      <c r="W3" s="35" t="s">
        <v>43</v>
      </c>
      <c r="X3" s="35" t="s">
        <v>44</v>
      </c>
      <c r="Y3" t="s">
        <v>22</v>
      </c>
    </row>
    <row r="4" spans="1:26" x14ac:dyDescent="0.5">
      <c r="A4" s="2">
        <v>1</v>
      </c>
      <c r="B4" s="2" t="s">
        <v>3</v>
      </c>
      <c r="C4" s="41">
        <v>1500000</v>
      </c>
      <c r="D4" s="18">
        <v>45358</v>
      </c>
      <c r="E4" s="2">
        <f>Paramètres!D1</f>
        <v>3</v>
      </c>
      <c r="F4" s="8">
        <v>0.02</v>
      </c>
      <c r="G4" s="18">
        <f>DATE(YEAR(D4),MONTH(D4)+E4,DAY(D4))</f>
        <v>45450</v>
      </c>
      <c r="H4" s="4">
        <f t="shared" ref="H4:H18" si="1">M4+P4+S4+W4-C4</f>
        <v>290000</v>
      </c>
      <c r="I4" s="4">
        <f>M4+P4+S4+W4</f>
        <v>1790000</v>
      </c>
      <c r="J4" s="4">
        <f t="shared" ref="J4:J24" si="2">X4</f>
        <v>572.01356800016947</v>
      </c>
      <c r="K4" s="2" t="s">
        <v>23</v>
      </c>
      <c r="L4" s="26">
        <f>C4*F4 +C4</f>
        <v>1530000</v>
      </c>
      <c r="M4" s="27"/>
      <c r="N4" s="28">
        <f>L4-M4</f>
        <v>1530000</v>
      </c>
      <c r="O4" s="29">
        <f>N4*(1+F4)</f>
        <v>1560600</v>
      </c>
      <c r="P4" s="30"/>
      <c r="Q4" s="31">
        <f>O4-P4</f>
        <v>1560600</v>
      </c>
      <c r="R4" s="36">
        <f t="shared" ref="R4:R24" si="3">Q4*(1+F4)</f>
        <v>1591812</v>
      </c>
      <c r="S4" s="22"/>
      <c r="T4" s="22">
        <f>R4-S4</f>
        <v>1591812</v>
      </c>
      <c r="U4" s="24">
        <f>3</f>
        <v>3</v>
      </c>
      <c r="V4" s="24">
        <f>T4*POWER((1+4%),U4)</f>
        <v>1790572.0135680002</v>
      </c>
      <c r="W4" s="24">
        <f>Remboursements!C15</f>
        <v>1790000</v>
      </c>
      <c r="X4" s="24">
        <f>V4-W4</f>
        <v>572.01356800016947</v>
      </c>
      <c r="Y4" t="s">
        <v>23</v>
      </c>
      <c r="Z4" s="12" t="s">
        <v>24</v>
      </c>
    </row>
    <row r="5" spans="1:26" x14ac:dyDescent="0.5">
      <c r="A5" s="2">
        <v>2</v>
      </c>
      <c r="B5" s="2" t="s">
        <v>4</v>
      </c>
      <c r="C5" s="41">
        <v>1000000</v>
      </c>
      <c r="D5" s="18">
        <v>45358</v>
      </c>
      <c r="E5" s="2">
        <f>Paramètres!D1</f>
        <v>3</v>
      </c>
      <c r="F5" s="8">
        <v>0.02</v>
      </c>
      <c r="G5" s="18">
        <f t="shared" ref="G5:G8" si="4">DATE(YEAR(D5),MONTH(D5)+E5,DAY(D5))</f>
        <v>45450</v>
      </c>
      <c r="H5" s="4">
        <f t="shared" si="1"/>
        <v>40000</v>
      </c>
      <c r="I5" s="4">
        <f t="shared" ref="I5:I19" si="5">M5+P5+S5+W5</f>
        <v>1040000</v>
      </c>
      <c r="J5" s="4">
        <f t="shared" si="2"/>
        <v>0</v>
      </c>
      <c r="K5" s="2" t="s">
        <v>23</v>
      </c>
      <c r="L5" s="26">
        <f t="shared" ref="L5:L19" si="6">C5*F5 +C5</f>
        <v>1020000</v>
      </c>
      <c r="M5" s="27">
        <f>Remboursements!C4</f>
        <v>20000</v>
      </c>
      <c r="N5" s="28">
        <f t="shared" ref="N5:N19" si="7">L5-M5</f>
        <v>1000000</v>
      </c>
      <c r="O5" s="29">
        <f t="shared" ref="O5:O19" si="8">N5*(1+F5)</f>
        <v>1020000</v>
      </c>
      <c r="P5" s="30">
        <f>Remboursements!C5</f>
        <v>1020000</v>
      </c>
      <c r="Q5" s="31">
        <f t="shared" ref="Q5:Q18" si="9">O5-P5</f>
        <v>0</v>
      </c>
      <c r="R5" s="36">
        <f t="shared" si="3"/>
        <v>0</v>
      </c>
      <c r="S5" s="22"/>
      <c r="T5" s="22">
        <f t="shared" ref="T5:T19" si="10">R5-S5</f>
        <v>0</v>
      </c>
      <c r="U5" s="24">
        <v>0</v>
      </c>
      <c r="V5" s="24">
        <f t="shared" ref="V5:V19" si="11">T5*POWER((1+4%),U5)</f>
        <v>0</v>
      </c>
      <c r="W5" s="24"/>
      <c r="X5" s="24">
        <f t="shared" ref="X5:X19" si="12">V5-W5</f>
        <v>0</v>
      </c>
      <c r="Y5" t="s">
        <v>25</v>
      </c>
    </row>
    <row r="6" spans="1:26" x14ac:dyDescent="0.5">
      <c r="A6" s="2">
        <v>3</v>
      </c>
      <c r="B6" s="2" t="s">
        <v>1</v>
      </c>
      <c r="C6" s="41">
        <v>3000000</v>
      </c>
      <c r="D6" s="18">
        <v>45362</v>
      </c>
      <c r="E6" s="2">
        <f>Paramètres!D1</f>
        <v>3</v>
      </c>
      <c r="F6" s="8">
        <v>0.02</v>
      </c>
      <c r="G6" s="18">
        <f t="shared" si="4"/>
        <v>45454</v>
      </c>
      <c r="H6" s="4">
        <f t="shared" si="1"/>
        <v>120000</v>
      </c>
      <c r="I6" s="4">
        <f t="shared" si="5"/>
        <v>3120000</v>
      </c>
      <c r="J6" s="4">
        <f t="shared" si="2"/>
        <v>0</v>
      </c>
      <c r="K6" s="2" t="s">
        <v>23</v>
      </c>
      <c r="L6" s="26">
        <f t="shared" si="6"/>
        <v>3060000</v>
      </c>
      <c r="M6" s="27">
        <f>Remboursements!C2</f>
        <v>60000</v>
      </c>
      <c r="N6" s="28">
        <f t="shared" si="7"/>
        <v>3000000</v>
      </c>
      <c r="O6" s="29">
        <f t="shared" si="8"/>
        <v>3060000</v>
      </c>
      <c r="P6" s="30">
        <f>Remboursements!C6</f>
        <v>3060000</v>
      </c>
      <c r="Q6" s="31">
        <f t="shared" si="9"/>
        <v>0</v>
      </c>
      <c r="R6" s="36">
        <f t="shared" si="3"/>
        <v>0</v>
      </c>
      <c r="S6" s="22"/>
      <c r="T6" s="22">
        <f t="shared" si="10"/>
        <v>0</v>
      </c>
      <c r="U6" s="24">
        <v>0</v>
      </c>
      <c r="V6" s="24">
        <f t="shared" si="11"/>
        <v>0</v>
      </c>
      <c r="W6" s="24"/>
      <c r="X6" s="24">
        <f t="shared" si="12"/>
        <v>0</v>
      </c>
    </row>
    <row r="7" spans="1:26" x14ac:dyDescent="0.5">
      <c r="A7" s="2">
        <v>4</v>
      </c>
      <c r="B7" s="2" t="s">
        <v>5</v>
      </c>
      <c r="C7" s="41">
        <v>2000000</v>
      </c>
      <c r="D7" s="18">
        <v>45367</v>
      </c>
      <c r="E7" s="2">
        <f>Paramètres!D1</f>
        <v>3</v>
      </c>
      <c r="F7" s="8">
        <v>0.02</v>
      </c>
      <c r="G7" s="18">
        <f t="shared" si="4"/>
        <v>45459</v>
      </c>
      <c r="H7" s="4">
        <f t="shared" si="1"/>
        <v>80000</v>
      </c>
      <c r="I7" s="4">
        <f t="shared" si="5"/>
        <v>2080000</v>
      </c>
      <c r="J7" s="4">
        <f t="shared" si="2"/>
        <v>0</v>
      </c>
      <c r="K7" s="2" t="s">
        <v>23</v>
      </c>
      <c r="L7" s="26">
        <f t="shared" si="6"/>
        <v>2040000</v>
      </c>
      <c r="M7" s="27">
        <f>Remboursements!C3</f>
        <v>40000</v>
      </c>
      <c r="N7" s="28">
        <f t="shared" si="7"/>
        <v>2000000</v>
      </c>
      <c r="O7" s="29">
        <f t="shared" si="8"/>
        <v>2040000</v>
      </c>
      <c r="P7" s="30">
        <f>Remboursements!C7</f>
        <v>2040000</v>
      </c>
      <c r="Q7" s="31">
        <f t="shared" si="9"/>
        <v>0</v>
      </c>
      <c r="R7" s="36">
        <f t="shared" si="3"/>
        <v>0</v>
      </c>
      <c r="S7" s="22"/>
      <c r="T7" s="22">
        <f t="shared" si="10"/>
        <v>0</v>
      </c>
      <c r="U7" s="24">
        <v>0</v>
      </c>
      <c r="V7" s="24">
        <f t="shared" si="11"/>
        <v>0</v>
      </c>
      <c r="W7" s="24"/>
      <c r="X7" s="24">
        <f t="shared" si="12"/>
        <v>0</v>
      </c>
    </row>
    <row r="8" spans="1:26" x14ac:dyDescent="0.5">
      <c r="A8" s="2">
        <v>5</v>
      </c>
      <c r="B8" s="2" t="s">
        <v>2</v>
      </c>
      <c r="C8" s="41">
        <v>2000000</v>
      </c>
      <c r="D8" s="18">
        <v>45462</v>
      </c>
      <c r="E8" s="2">
        <v>3</v>
      </c>
      <c r="F8" s="8">
        <v>0.02</v>
      </c>
      <c r="G8" s="18">
        <f t="shared" si="4"/>
        <v>45554</v>
      </c>
      <c r="H8" s="4">
        <f t="shared" si="1"/>
        <v>120000</v>
      </c>
      <c r="I8" s="4">
        <f t="shared" si="5"/>
        <v>2120000</v>
      </c>
      <c r="J8" s="4">
        <f t="shared" si="2"/>
        <v>2416</v>
      </c>
      <c r="K8" s="2" t="s">
        <v>23</v>
      </c>
      <c r="L8" s="26">
        <f t="shared" si="6"/>
        <v>2040000</v>
      </c>
      <c r="M8" s="27"/>
      <c r="N8" s="28">
        <f t="shared" si="7"/>
        <v>2040000</v>
      </c>
      <c r="O8" s="29">
        <f t="shared" si="8"/>
        <v>2080800</v>
      </c>
      <c r="P8" s="30"/>
      <c r="Q8" s="31">
        <f t="shared" si="9"/>
        <v>2080800</v>
      </c>
      <c r="R8" s="36">
        <f t="shared" si="3"/>
        <v>2122416</v>
      </c>
      <c r="S8" s="22">
        <f>Remboursements!C13</f>
        <v>2120000</v>
      </c>
      <c r="T8" s="22">
        <f t="shared" si="10"/>
        <v>2416</v>
      </c>
      <c r="U8" s="24">
        <v>0</v>
      </c>
      <c r="V8" s="24">
        <f t="shared" si="11"/>
        <v>2416</v>
      </c>
      <c r="W8" s="24"/>
      <c r="X8" s="24">
        <f t="shared" si="12"/>
        <v>2416</v>
      </c>
    </row>
    <row r="9" spans="1:26" x14ac:dyDescent="0.5">
      <c r="A9" s="2">
        <v>6</v>
      </c>
      <c r="B9" s="2" t="s">
        <v>1</v>
      </c>
      <c r="C9" s="41">
        <v>1500000</v>
      </c>
      <c r="D9" s="18">
        <v>45462</v>
      </c>
      <c r="E9" s="2">
        <v>3</v>
      </c>
      <c r="F9" s="8">
        <v>0.02</v>
      </c>
      <c r="G9" s="18">
        <f t="shared" ref="G9:G20" si="13">DATE(YEAR(D9),MONTH(D9)+3,DAY(D9))</f>
        <v>45554</v>
      </c>
      <c r="H9" s="4">
        <f t="shared" si="1"/>
        <v>90000</v>
      </c>
      <c r="I9" s="4">
        <f t="shared" si="5"/>
        <v>1590000</v>
      </c>
      <c r="J9" s="4">
        <f t="shared" si="2"/>
        <v>0</v>
      </c>
      <c r="K9" s="2" t="s">
        <v>23</v>
      </c>
      <c r="L9" s="26">
        <f t="shared" si="6"/>
        <v>1530000</v>
      </c>
      <c r="M9" s="27">
        <f>Remboursements!C8</f>
        <v>30000</v>
      </c>
      <c r="N9" s="28">
        <f t="shared" si="7"/>
        <v>1500000</v>
      </c>
      <c r="O9" s="29">
        <f t="shared" si="8"/>
        <v>1530000</v>
      </c>
      <c r="P9" s="30">
        <f>Remboursements!C10</f>
        <v>30000</v>
      </c>
      <c r="Q9" s="31">
        <f t="shared" si="9"/>
        <v>1500000</v>
      </c>
      <c r="R9" s="36">
        <f t="shared" si="3"/>
        <v>1530000</v>
      </c>
      <c r="S9" s="22">
        <f>Remboursements!C11</f>
        <v>1530000</v>
      </c>
      <c r="T9" s="22">
        <f t="shared" si="10"/>
        <v>0</v>
      </c>
      <c r="U9" s="24">
        <v>0</v>
      </c>
      <c r="V9" s="24">
        <f t="shared" si="11"/>
        <v>0</v>
      </c>
      <c r="W9" s="24"/>
      <c r="X9" s="24">
        <f t="shared" si="12"/>
        <v>0</v>
      </c>
    </row>
    <row r="10" spans="1:26" x14ac:dyDescent="0.5">
      <c r="A10" s="2">
        <v>7</v>
      </c>
      <c r="B10" s="2" t="s">
        <v>5</v>
      </c>
      <c r="C10" s="41">
        <v>1360000</v>
      </c>
      <c r="D10" s="18">
        <v>45462</v>
      </c>
      <c r="E10" s="2">
        <v>3</v>
      </c>
      <c r="F10" s="8">
        <v>0.02</v>
      </c>
      <c r="G10" s="18">
        <f t="shared" si="13"/>
        <v>45554</v>
      </c>
      <c r="H10" s="4">
        <f t="shared" si="1"/>
        <v>83500</v>
      </c>
      <c r="I10" s="4">
        <f t="shared" si="5"/>
        <v>1443500</v>
      </c>
      <c r="J10" s="4">
        <f t="shared" si="2"/>
        <v>0</v>
      </c>
      <c r="K10" s="2" t="s">
        <v>23</v>
      </c>
      <c r="L10" s="26">
        <f t="shared" si="6"/>
        <v>1387200</v>
      </c>
      <c r="M10" s="27"/>
      <c r="N10" s="28">
        <f t="shared" si="7"/>
        <v>1387200</v>
      </c>
      <c r="O10" s="29">
        <f t="shared" si="8"/>
        <v>1414944</v>
      </c>
      <c r="P10" s="30"/>
      <c r="Q10" s="31">
        <f t="shared" si="9"/>
        <v>1414944</v>
      </c>
      <c r="R10" s="36">
        <f t="shared" si="3"/>
        <v>1443242.8800000001</v>
      </c>
      <c r="S10" s="22">
        <f>Remboursements!C12</f>
        <v>1443500</v>
      </c>
      <c r="T10" s="22">
        <v>0</v>
      </c>
      <c r="U10" s="24">
        <v>0</v>
      </c>
      <c r="V10" s="24">
        <f t="shared" si="11"/>
        <v>0</v>
      </c>
      <c r="W10" s="24"/>
      <c r="X10" s="24">
        <f t="shared" si="12"/>
        <v>0</v>
      </c>
    </row>
    <row r="11" spans="1:26" x14ac:dyDescent="0.5">
      <c r="A11" s="2">
        <v>8</v>
      </c>
      <c r="B11" s="2" t="s">
        <v>10</v>
      </c>
      <c r="C11" s="41">
        <v>2000000</v>
      </c>
      <c r="D11" s="18">
        <v>45462</v>
      </c>
      <c r="E11" s="2">
        <v>3</v>
      </c>
      <c r="F11" s="8">
        <v>0.02</v>
      </c>
      <c r="G11" s="18">
        <f t="shared" si="13"/>
        <v>45554</v>
      </c>
      <c r="H11" s="4">
        <f t="shared" si="1"/>
        <v>180000</v>
      </c>
      <c r="I11" s="4">
        <f t="shared" si="5"/>
        <v>2180000</v>
      </c>
      <c r="J11" s="4">
        <f t="shared" si="2"/>
        <v>832</v>
      </c>
      <c r="K11" s="2" t="s">
        <v>23</v>
      </c>
      <c r="L11" s="26">
        <f t="shared" si="6"/>
        <v>2040000</v>
      </c>
      <c r="M11" s="27">
        <f>Remboursements!C9</f>
        <v>40000</v>
      </c>
      <c r="N11" s="28">
        <f t="shared" si="7"/>
        <v>2000000</v>
      </c>
      <c r="O11" s="29">
        <f t="shared" si="8"/>
        <v>2040000</v>
      </c>
      <c r="P11" s="30"/>
      <c r="Q11" s="31">
        <f t="shared" si="9"/>
        <v>2040000</v>
      </c>
      <c r="R11" s="36">
        <f t="shared" si="3"/>
        <v>2080800</v>
      </c>
      <c r="S11" s="22">
        <f>Remboursements!C14</f>
        <v>580000</v>
      </c>
      <c r="T11" s="22">
        <f t="shared" si="10"/>
        <v>1500800</v>
      </c>
      <c r="U11" s="24">
        <v>1</v>
      </c>
      <c r="V11" s="24">
        <f t="shared" si="11"/>
        <v>1560832</v>
      </c>
      <c r="W11" s="24">
        <f>Remboursements!C18</f>
        <v>1560000</v>
      </c>
      <c r="X11" s="24">
        <f t="shared" si="12"/>
        <v>832</v>
      </c>
    </row>
    <row r="12" spans="1:26" x14ac:dyDescent="0.5">
      <c r="A12" s="2">
        <v>9</v>
      </c>
      <c r="B12" s="2" t="s">
        <v>5</v>
      </c>
      <c r="C12" s="41">
        <v>2000000</v>
      </c>
      <c r="D12" s="18">
        <v>45555</v>
      </c>
      <c r="E12" s="2">
        <v>3</v>
      </c>
      <c r="F12" s="8">
        <v>0.02</v>
      </c>
      <c r="G12" s="18">
        <f t="shared" si="13"/>
        <v>45646</v>
      </c>
      <c r="H12" s="4">
        <f t="shared" si="1"/>
        <v>120000</v>
      </c>
      <c r="I12" s="4">
        <f t="shared" si="5"/>
        <v>2120000</v>
      </c>
      <c r="J12" s="4">
        <f t="shared" si="2"/>
        <v>0</v>
      </c>
      <c r="K12" s="2" t="s">
        <v>23</v>
      </c>
      <c r="L12" s="26">
        <f t="shared" si="6"/>
        <v>2040000</v>
      </c>
      <c r="M12" s="27">
        <f>Remboursements!C17</f>
        <v>40000</v>
      </c>
      <c r="N12" s="28">
        <f t="shared" si="7"/>
        <v>2000000</v>
      </c>
      <c r="O12" s="29">
        <f t="shared" si="8"/>
        <v>2040000</v>
      </c>
      <c r="P12" s="30">
        <f>Remboursements!C20</f>
        <v>40000</v>
      </c>
      <c r="Q12" s="31">
        <f t="shared" si="9"/>
        <v>2000000</v>
      </c>
      <c r="R12" s="36">
        <f t="shared" si="3"/>
        <v>2040000</v>
      </c>
      <c r="S12" s="22">
        <f>Remboursements!C21</f>
        <v>2040000</v>
      </c>
      <c r="T12" s="22">
        <f t="shared" si="10"/>
        <v>0</v>
      </c>
      <c r="U12" s="24">
        <v>0</v>
      </c>
      <c r="V12" s="24">
        <f t="shared" si="11"/>
        <v>0</v>
      </c>
      <c r="W12" s="24"/>
      <c r="X12" s="24">
        <f t="shared" si="12"/>
        <v>0</v>
      </c>
    </row>
    <row r="13" spans="1:26" x14ac:dyDescent="0.5">
      <c r="A13" s="2">
        <v>10</v>
      </c>
      <c r="B13" s="2" t="s">
        <v>2</v>
      </c>
      <c r="C13" s="41">
        <v>2000000</v>
      </c>
      <c r="D13" s="18">
        <v>45555</v>
      </c>
      <c r="E13" s="2">
        <v>3</v>
      </c>
      <c r="F13" s="8">
        <v>0.02</v>
      </c>
      <c r="G13" s="18">
        <f t="shared" si="13"/>
        <v>45646</v>
      </c>
      <c r="H13" s="4">
        <f t="shared" si="1"/>
        <v>120000</v>
      </c>
      <c r="I13" s="4">
        <f t="shared" si="5"/>
        <v>2120000</v>
      </c>
      <c r="J13" s="4">
        <f t="shared" si="2"/>
        <v>2416</v>
      </c>
      <c r="K13" s="2" t="s">
        <v>23</v>
      </c>
      <c r="L13" s="26">
        <f t="shared" si="6"/>
        <v>2040000</v>
      </c>
      <c r="M13" s="27"/>
      <c r="N13" s="28">
        <f t="shared" si="7"/>
        <v>2040000</v>
      </c>
      <c r="O13" s="29">
        <f t="shared" si="8"/>
        <v>2080800</v>
      </c>
      <c r="P13" s="30"/>
      <c r="Q13" s="31">
        <f t="shared" si="9"/>
        <v>2080800</v>
      </c>
      <c r="R13" s="36">
        <f t="shared" si="3"/>
        <v>2122416</v>
      </c>
      <c r="S13" s="22">
        <f>Remboursements!C22</f>
        <v>2120000</v>
      </c>
      <c r="T13" s="22">
        <f t="shared" si="10"/>
        <v>2416</v>
      </c>
      <c r="U13" s="24">
        <v>0</v>
      </c>
      <c r="V13" s="24">
        <f t="shared" si="11"/>
        <v>2416</v>
      </c>
      <c r="W13" s="24"/>
      <c r="X13" s="24">
        <f t="shared" si="12"/>
        <v>2416</v>
      </c>
    </row>
    <row r="14" spans="1:26" x14ac:dyDescent="0.5">
      <c r="A14" s="2">
        <v>11</v>
      </c>
      <c r="B14" s="2" t="s">
        <v>1</v>
      </c>
      <c r="C14" s="41">
        <v>1500000</v>
      </c>
      <c r="D14" s="18">
        <v>45555</v>
      </c>
      <c r="E14" s="2">
        <v>3</v>
      </c>
      <c r="F14" s="8">
        <v>0.02</v>
      </c>
      <c r="G14" s="18">
        <f t="shared" si="13"/>
        <v>45646</v>
      </c>
      <c r="H14" s="4">
        <f t="shared" si="1"/>
        <v>90000</v>
      </c>
      <c r="I14" s="4">
        <f t="shared" si="5"/>
        <v>1590000</v>
      </c>
      <c r="J14" s="4">
        <f t="shared" si="2"/>
        <v>0</v>
      </c>
      <c r="K14" s="2" t="s">
        <v>23</v>
      </c>
      <c r="L14" s="26">
        <f t="shared" si="6"/>
        <v>1530000</v>
      </c>
      <c r="M14" s="27">
        <f>Remboursements!C16</f>
        <v>30000</v>
      </c>
      <c r="N14" s="28">
        <f t="shared" si="7"/>
        <v>1500000</v>
      </c>
      <c r="O14" s="29">
        <f t="shared" si="8"/>
        <v>1530000</v>
      </c>
      <c r="P14" s="30">
        <f>Remboursements!C19</f>
        <v>30000</v>
      </c>
      <c r="Q14" s="31">
        <f t="shared" si="9"/>
        <v>1500000</v>
      </c>
      <c r="R14" s="36">
        <f t="shared" si="3"/>
        <v>1530000</v>
      </c>
      <c r="S14" s="22">
        <f>Remboursements!C23</f>
        <v>1530000</v>
      </c>
      <c r="T14" s="22">
        <f t="shared" si="10"/>
        <v>0</v>
      </c>
      <c r="U14" s="24">
        <v>0</v>
      </c>
      <c r="V14" s="24">
        <f t="shared" si="11"/>
        <v>0</v>
      </c>
      <c r="W14" s="24"/>
      <c r="X14" s="24">
        <f t="shared" si="12"/>
        <v>0</v>
      </c>
    </row>
    <row r="15" spans="1:26" x14ac:dyDescent="0.5">
      <c r="A15" s="2">
        <v>12</v>
      </c>
      <c r="B15" s="2" t="s">
        <v>3</v>
      </c>
      <c r="C15" s="41">
        <v>1000000</v>
      </c>
      <c r="D15" s="18">
        <v>45581</v>
      </c>
      <c r="E15" s="2">
        <v>3</v>
      </c>
      <c r="F15" s="8">
        <v>0.02</v>
      </c>
      <c r="G15" s="18">
        <f t="shared" si="13"/>
        <v>45673</v>
      </c>
      <c r="H15" s="4">
        <f t="shared" si="1"/>
        <v>60000</v>
      </c>
      <c r="I15" s="4">
        <f t="shared" si="5"/>
        <v>1060000</v>
      </c>
      <c r="J15" s="4">
        <f t="shared" si="2"/>
        <v>1208</v>
      </c>
      <c r="K15" s="2" t="s">
        <v>23</v>
      </c>
      <c r="L15" s="26">
        <f t="shared" si="6"/>
        <v>1020000</v>
      </c>
      <c r="M15" s="27"/>
      <c r="N15" s="28">
        <f t="shared" si="7"/>
        <v>1020000</v>
      </c>
      <c r="O15" s="29">
        <f t="shared" si="8"/>
        <v>1040400</v>
      </c>
      <c r="P15" s="30"/>
      <c r="Q15" s="31">
        <f t="shared" si="9"/>
        <v>1040400</v>
      </c>
      <c r="R15" s="36">
        <f t="shared" si="3"/>
        <v>1061208</v>
      </c>
      <c r="S15" s="22">
        <f>Remboursements!C24</f>
        <v>1060000</v>
      </c>
      <c r="T15" s="22">
        <f t="shared" si="10"/>
        <v>1208</v>
      </c>
      <c r="U15" s="24">
        <v>0</v>
      </c>
      <c r="V15" s="24">
        <f t="shared" si="11"/>
        <v>1208</v>
      </c>
      <c r="W15" s="24"/>
      <c r="X15" s="24">
        <f t="shared" si="12"/>
        <v>1208</v>
      </c>
    </row>
    <row r="16" spans="1:26" x14ac:dyDescent="0.5">
      <c r="A16" s="2">
        <v>13</v>
      </c>
      <c r="B16" s="2" t="s">
        <v>10</v>
      </c>
      <c r="C16" s="41">
        <v>2000000</v>
      </c>
      <c r="D16" s="18">
        <v>45600</v>
      </c>
      <c r="E16" s="2">
        <v>3</v>
      </c>
      <c r="F16" s="8">
        <v>0.02</v>
      </c>
      <c r="G16" s="18">
        <f t="shared" si="13"/>
        <v>45692</v>
      </c>
      <c r="H16" s="4">
        <f t="shared" si="1"/>
        <v>120000</v>
      </c>
      <c r="I16" s="4">
        <f t="shared" si="5"/>
        <v>2120000</v>
      </c>
      <c r="J16" s="4">
        <f t="shared" si="2"/>
        <v>2416</v>
      </c>
      <c r="K16" s="2" t="s">
        <v>23</v>
      </c>
      <c r="L16" s="26">
        <f t="shared" si="6"/>
        <v>2040000</v>
      </c>
      <c r="M16" s="27"/>
      <c r="N16" s="28">
        <f t="shared" si="7"/>
        <v>2040000</v>
      </c>
      <c r="O16" s="29">
        <f t="shared" si="8"/>
        <v>2080800</v>
      </c>
      <c r="P16" s="30"/>
      <c r="Q16" s="31">
        <f t="shared" si="9"/>
        <v>2080800</v>
      </c>
      <c r="R16" s="36">
        <f t="shared" si="3"/>
        <v>2122416</v>
      </c>
      <c r="S16" s="22">
        <f>Remboursements!C27</f>
        <v>2120000</v>
      </c>
      <c r="T16" s="22">
        <f t="shared" si="10"/>
        <v>2416</v>
      </c>
      <c r="U16" s="24">
        <v>0</v>
      </c>
      <c r="V16" s="24">
        <f t="shared" si="11"/>
        <v>2416</v>
      </c>
      <c r="W16" s="24"/>
      <c r="X16" s="24">
        <f t="shared" si="12"/>
        <v>2416</v>
      </c>
    </row>
    <row r="17" spans="1:24" x14ac:dyDescent="0.5">
      <c r="A17" s="2">
        <v>14</v>
      </c>
      <c r="B17" s="2" t="s">
        <v>1</v>
      </c>
      <c r="C17" s="41">
        <v>2000000</v>
      </c>
      <c r="D17" s="18">
        <v>45653</v>
      </c>
      <c r="E17" s="2">
        <v>3</v>
      </c>
      <c r="F17" s="8">
        <v>0.02</v>
      </c>
      <c r="G17" s="18">
        <f t="shared" si="13"/>
        <v>45743</v>
      </c>
      <c r="H17" s="4">
        <f t="shared" si="1"/>
        <v>120000</v>
      </c>
      <c r="I17" s="4">
        <f t="shared" si="5"/>
        <v>2120000</v>
      </c>
      <c r="J17" s="4">
        <f t="shared" si="2"/>
        <v>0</v>
      </c>
      <c r="K17" s="2" t="s">
        <v>23</v>
      </c>
      <c r="L17" s="26">
        <f t="shared" si="6"/>
        <v>2040000</v>
      </c>
      <c r="M17" s="27">
        <f>Remboursements!C25</f>
        <v>40000</v>
      </c>
      <c r="N17" s="28">
        <f t="shared" si="7"/>
        <v>2000000</v>
      </c>
      <c r="O17" s="29">
        <f t="shared" si="8"/>
        <v>2040000</v>
      </c>
      <c r="P17" s="30">
        <v>40000</v>
      </c>
      <c r="Q17" s="31">
        <f t="shared" si="9"/>
        <v>2000000</v>
      </c>
      <c r="R17" s="36">
        <f t="shared" si="3"/>
        <v>2040000</v>
      </c>
      <c r="S17" s="22">
        <v>2040000</v>
      </c>
      <c r="T17" s="22">
        <f t="shared" si="10"/>
        <v>0</v>
      </c>
      <c r="U17" s="24">
        <v>0</v>
      </c>
      <c r="V17" s="24">
        <f t="shared" si="11"/>
        <v>0</v>
      </c>
      <c r="W17" s="24"/>
      <c r="X17" s="24">
        <f t="shared" si="12"/>
        <v>0</v>
      </c>
    </row>
    <row r="18" spans="1:24" x14ac:dyDescent="0.5">
      <c r="A18" s="2">
        <v>15</v>
      </c>
      <c r="B18" s="2" t="s">
        <v>5</v>
      </c>
      <c r="C18" s="41">
        <v>2000000</v>
      </c>
      <c r="D18" s="18">
        <v>45653</v>
      </c>
      <c r="E18" s="2">
        <v>3</v>
      </c>
      <c r="F18" s="8">
        <v>0.02</v>
      </c>
      <c r="G18" s="18">
        <f t="shared" si="13"/>
        <v>45743</v>
      </c>
      <c r="H18" s="4">
        <f t="shared" si="1"/>
        <v>120000</v>
      </c>
      <c r="I18" s="4">
        <f t="shared" si="5"/>
        <v>2120000</v>
      </c>
      <c r="J18" s="4">
        <f t="shared" si="2"/>
        <v>0</v>
      </c>
      <c r="K18" s="2" t="s">
        <v>23</v>
      </c>
      <c r="L18" s="26">
        <f t="shared" si="6"/>
        <v>2040000</v>
      </c>
      <c r="M18" s="27">
        <f>Remboursements!C26</f>
        <v>40000</v>
      </c>
      <c r="N18" s="28">
        <f t="shared" si="7"/>
        <v>2000000</v>
      </c>
      <c r="O18" s="29">
        <f t="shared" si="8"/>
        <v>2040000</v>
      </c>
      <c r="P18" s="30">
        <v>40000</v>
      </c>
      <c r="Q18" s="31">
        <f t="shared" si="9"/>
        <v>2000000</v>
      </c>
      <c r="R18" s="36">
        <f t="shared" si="3"/>
        <v>2040000</v>
      </c>
      <c r="S18" s="22">
        <v>2040000</v>
      </c>
      <c r="T18" s="22">
        <f t="shared" si="10"/>
        <v>0</v>
      </c>
      <c r="U18" s="24">
        <v>0</v>
      </c>
      <c r="V18" s="24">
        <f t="shared" si="11"/>
        <v>0</v>
      </c>
      <c r="W18" s="24"/>
      <c r="X18" s="24">
        <f t="shared" si="12"/>
        <v>0</v>
      </c>
    </row>
    <row r="19" spans="1:24" x14ac:dyDescent="0.5">
      <c r="A19" s="2">
        <v>16</v>
      </c>
      <c r="B19" s="2" t="s">
        <v>2</v>
      </c>
      <c r="C19" s="41">
        <v>2000000</v>
      </c>
      <c r="D19" s="18">
        <v>45654</v>
      </c>
      <c r="E19" s="2">
        <v>3</v>
      </c>
      <c r="F19" s="8">
        <v>0.02</v>
      </c>
      <c r="G19" s="18">
        <f t="shared" si="13"/>
        <v>45744</v>
      </c>
      <c r="H19" s="4">
        <f t="shared" ref="H19:H29" si="14">M19+P19+S19+W19-C19</f>
        <v>120000</v>
      </c>
      <c r="I19" s="4">
        <f t="shared" si="5"/>
        <v>2120000</v>
      </c>
      <c r="J19" s="4">
        <f t="shared" si="2"/>
        <v>0</v>
      </c>
      <c r="K19" s="2" t="s">
        <v>23</v>
      </c>
      <c r="L19" s="26">
        <f t="shared" si="6"/>
        <v>2040000</v>
      </c>
      <c r="M19" s="27"/>
      <c r="N19" s="28">
        <f t="shared" si="7"/>
        <v>2040000</v>
      </c>
      <c r="O19" s="29">
        <f t="shared" si="8"/>
        <v>2080800</v>
      </c>
      <c r="P19" s="30">
        <v>2120000</v>
      </c>
      <c r="Q19" s="31"/>
      <c r="R19" s="36">
        <f t="shared" si="3"/>
        <v>0</v>
      </c>
      <c r="S19" s="22"/>
      <c r="T19" s="22">
        <f t="shared" si="10"/>
        <v>0</v>
      </c>
      <c r="U19" s="24">
        <v>0</v>
      </c>
      <c r="V19" s="24">
        <f t="shared" si="11"/>
        <v>0</v>
      </c>
      <c r="W19" s="24"/>
      <c r="X19" s="24">
        <f t="shared" si="12"/>
        <v>0</v>
      </c>
    </row>
    <row r="20" spans="1:24" x14ac:dyDescent="0.5">
      <c r="A20">
        <v>17</v>
      </c>
      <c r="B20" t="s">
        <v>4</v>
      </c>
      <c r="C20" s="10">
        <v>1000000</v>
      </c>
      <c r="D20" s="14">
        <v>45706</v>
      </c>
      <c r="E20" s="2">
        <v>3</v>
      </c>
      <c r="F20" s="8">
        <v>0.02</v>
      </c>
      <c r="G20" s="14">
        <f t="shared" si="13"/>
        <v>45795</v>
      </c>
      <c r="H20" s="4">
        <v>20000</v>
      </c>
      <c r="I20" s="4">
        <f t="shared" ref="I20:I22" si="15">M20+P20+S20+W20</f>
        <v>1060000</v>
      </c>
      <c r="J20" s="4">
        <f t="shared" si="2"/>
        <v>400</v>
      </c>
      <c r="K20" s="2" t="s">
        <v>23</v>
      </c>
      <c r="L20" s="26">
        <f t="shared" ref="L20:L22" si="16">C20*F20 +C20</f>
        <v>1020000</v>
      </c>
      <c r="M20" s="27">
        <v>20000</v>
      </c>
      <c r="N20" s="28">
        <f t="shared" ref="N20:N22" si="17">L20-M20</f>
        <v>1000000</v>
      </c>
      <c r="O20" s="29">
        <f t="shared" ref="O20:O22" si="18">N20*(1+F20)</f>
        <v>1020000</v>
      </c>
      <c r="P20" s="30"/>
      <c r="Q20" s="31">
        <f t="shared" ref="Q20:Q22" si="19">O20-P20</f>
        <v>1020000</v>
      </c>
      <c r="R20" s="36">
        <f t="shared" si="3"/>
        <v>1040400</v>
      </c>
      <c r="S20" s="22">
        <v>1040000</v>
      </c>
      <c r="T20" s="22">
        <f t="shared" ref="T20:T22" si="20">R20-S20</f>
        <v>400</v>
      </c>
      <c r="U20" s="24">
        <v>0</v>
      </c>
      <c r="V20" s="24">
        <f t="shared" ref="V20:V22" si="21">T20*POWER((1+4%),U20)</f>
        <v>400</v>
      </c>
      <c r="W20" s="24"/>
      <c r="X20" s="24">
        <f t="shared" ref="X20:X22" si="22">V20-W20</f>
        <v>400</v>
      </c>
    </row>
    <row r="21" spans="1:24" x14ac:dyDescent="0.5">
      <c r="A21">
        <v>18</v>
      </c>
      <c r="B21" t="s">
        <v>10</v>
      </c>
      <c r="C21" s="10">
        <v>2000000</v>
      </c>
      <c r="D21" s="14">
        <v>45706</v>
      </c>
      <c r="E21" s="2">
        <v>3</v>
      </c>
      <c r="F21" s="8">
        <v>0.02</v>
      </c>
      <c r="G21" s="14">
        <f t="shared" ref="G21:G23" si="23">DATE(YEAR(D21),MONTH(D21)+3,DAY(D21))</f>
        <v>45795</v>
      </c>
      <c r="H21" s="4">
        <f t="shared" si="14"/>
        <v>120000</v>
      </c>
      <c r="I21" s="4">
        <f>M21+P21+S21+W21</f>
        <v>2120000</v>
      </c>
      <c r="J21" s="4">
        <f t="shared" si="2"/>
        <v>2416</v>
      </c>
      <c r="K21" s="2" t="s">
        <v>23</v>
      </c>
      <c r="L21" s="26">
        <f t="shared" si="16"/>
        <v>2040000</v>
      </c>
      <c r="M21" s="27"/>
      <c r="N21" s="28">
        <f t="shared" si="17"/>
        <v>2040000</v>
      </c>
      <c r="O21" s="29">
        <f t="shared" si="18"/>
        <v>2080800</v>
      </c>
      <c r="P21" s="30"/>
      <c r="Q21" s="31">
        <f>O21-P21</f>
        <v>2080800</v>
      </c>
      <c r="R21" s="36">
        <f t="shared" si="3"/>
        <v>2122416</v>
      </c>
      <c r="S21" s="22">
        <v>2120000</v>
      </c>
      <c r="T21" s="22">
        <f>R21-S21</f>
        <v>2416</v>
      </c>
      <c r="U21" s="24">
        <v>0</v>
      </c>
      <c r="V21" s="24">
        <f t="shared" si="21"/>
        <v>2416</v>
      </c>
      <c r="W21" s="24"/>
      <c r="X21" s="24">
        <f t="shared" si="22"/>
        <v>2416</v>
      </c>
    </row>
    <row r="22" spans="1:24" x14ac:dyDescent="0.5">
      <c r="A22">
        <v>19</v>
      </c>
      <c r="B22" t="s">
        <v>2</v>
      </c>
      <c r="C22" s="10">
        <v>2000000</v>
      </c>
      <c r="D22" s="14">
        <v>45708</v>
      </c>
      <c r="E22" s="2">
        <v>3</v>
      </c>
      <c r="F22" s="8">
        <v>0.02</v>
      </c>
      <c r="G22" s="14">
        <f t="shared" si="23"/>
        <v>45797</v>
      </c>
      <c r="H22" s="4">
        <f t="shared" si="14"/>
        <v>120000</v>
      </c>
      <c r="I22" s="4">
        <f t="shared" si="15"/>
        <v>2120000</v>
      </c>
      <c r="J22" s="4">
        <f t="shared" si="2"/>
        <v>2416</v>
      </c>
      <c r="K22" s="2" t="s">
        <v>23</v>
      </c>
      <c r="L22" s="26">
        <f t="shared" si="16"/>
        <v>2040000</v>
      </c>
      <c r="M22" s="27"/>
      <c r="N22" s="28">
        <f t="shared" si="17"/>
        <v>2040000</v>
      </c>
      <c r="O22" s="29">
        <f t="shared" si="18"/>
        <v>2080800</v>
      </c>
      <c r="P22" s="30"/>
      <c r="Q22" s="31">
        <f t="shared" si="19"/>
        <v>2080800</v>
      </c>
      <c r="R22" s="36">
        <f t="shared" si="3"/>
        <v>2122416</v>
      </c>
      <c r="S22" s="22">
        <v>2120000</v>
      </c>
      <c r="T22" s="22">
        <f t="shared" si="20"/>
        <v>2416</v>
      </c>
      <c r="U22" s="24">
        <v>0</v>
      </c>
      <c r="V22" s="24">
        <f t="shared" si="21"/>
        <v>2416</v>
      </c>
      <c r="W22" s="24"/>
      <c r="X22" s="24">
        <f t="shared" si="22"/>
        <v>2416</v>
      </c>
    </row>
    <row r="23" spans="1:24" x14ac:dyDescent="0.5">
      <c r="A23">
        <v>20</v>
      </c>
      <c r="B23" t="s">
        <v>5</v>
      </c>
      <c r="C23" s="10">
        <v>2000000</v>
      </c>
      <c r="D23" s="14">
        <v>45748</v>
      </c>
      <c r="E23" s="2">
        <v>3</v>
      </c>
      <c r="F23" s="8">
        <v>0.02</v>
      </c>
      <c r="G23" s="14">
        <f t="shared" si="23"/>
        <v>45839</v>
      </c>
      <c r="H23" s="4">
        <f t="shared" si="14"/>
        <v>80000</v>
      </c>
      <c r="I23" s="4">
        <f t="shared" ref="I23:I24" si="24">M23+P23+S23+W23</f>
        <v>2080000</v>
      </c>
      <c r="J23" s="4">
        <f t="shared" si="2"/>
        <v>0</v>
      </c>
      <c r="K23" s="2" t="s">
        <v>23</v>
      </c>
      <c r="L23" s="26">
        <f t="shared" ref="L23:L24" si="25">C23*F23 +C23</f>
        <v>2040000</v>
      </c>
      <c r="M23" s="27">
        <v>40000</v>
      </c>
      <c r="N23" s="28">
        <f t="shared" ref="N23:N24" si="26">L23-M23</f>
        <v>2000000</v>
      </c>
      <c r="O23" s="29">
        <f t="shared" ref="O23:O24" si="27">N23*(1+F23)</f>
        <v>2040000</v>
      </c>
      <c r="P23" s="30">
        <v>2040000</v>
      </c>
      <c r="Q23" s="31">
        <f t="shared" ref="Q23:Q24" si="28">O23-P23</f>
        <v>0</v>
      </c>
      <c r="R23" s="36">
        <f t="shared" si="3"/>
        <v>0</v>
      </c>
      <c r="S23" s="22"/>
      <c r="T23" s="22">
        <f t="shared" ref="T23:T24" si="29">R23-S23</f>
        <v>0</v>
      </c>
      <c r="U23" s="24">
        <v>0</v>
      </c>
      <c r="V23" s="24">
        <f t="shared" ref="V23:V24" si="30">T23*POWER((1+4%),U23)</f>
        <v>0</v>
      </c>
      <c r="W23" s="24"/>
      <c r="X23" s="24">
        <f t="shared" ref="X23:X24" si="31">V23-W23</f>
        <v>0</v>
      </c>
    </row>
    <row r="24" spans="1:24" x14ac:dyDescent="0.5">
      <c r="A24">
        <v>21</v>
      </c>
      <c r="B24" t="s">
        <v>1</v>
      </c>
      <c r="C24" s="10">
        <v>2000000</v>
      </c>
      <c r="D24" s="14">
        <v>45751</v>
      </c>
      <c r="E24" s="2">
        <v>3</v>
      </c>
      <c r="F24" s="8">
        <v>0.02</v>
      </c>
      <c r="G24" s="14">
        <f t="shared" ref="G24:G27" si="32">DATE(YEAR(D24),MONTH(D24)+3,DAY(D24))</f>
        <v>45842</v>
      </c>
      <c r="H24" s="4">
        <f t="shared" si="14"/>
        <v>120000</v>
      </c>
      <c r="I24" s="4">
        <f t="shared" si="24"/>
        <v>2120000</v>
      </c>
      <c r="J24" s="4">
        <f t="shared" si="2"/>
        <v>0</v>
      </c>
      <c r="K24" s="2" t="s">
        <v>23</v>
      </c>
      <c r="L24" s="26">
        <f t="shared" si="25"/>
        <v>2040000</v>
      </c>
      <c r="M24" s="27">
        <v>40000</v>
      </c>
      <c r="N24" s="28">
        <f t="shared" si="26"/>
        <v>2000000</v>
      </c>
      <c r="O24" s="29">
        <f t="shared" si="27"/>
        <v>2040000</v>
      </c>
      <c r="P24" s="30">
        <v>40000</v>
      </c>
      <c r="Q24" s="31">
        <f t="shared" si="28"/>
        <v>2000000</v>
      </c>
      <c r="R24" s="36">
        <f t="shared" si="3"/>
        <v>2040000</v>
      </c>
      <c r="S24" s="22">
        <v>2040000</v>
      </c>
      <c r="T24" s="22">
        <f t="shared" si="29"/>
        <v>0</v>
      </c>
      <c r="U24" s="24">
        <v>0</v>
      </c>
      <c r="V24" s="24">
        <f t="shared" si="30"/>
        <v>0</v>
      </c>
      <c r="W24" s="24"/>
      <c r="X24" s="24">
        <f t="shared" si="31"/>
        <v>0</v>
      </c>
    </row>
    <row r="25" spans="1:24" x14ac:dyDescent="0.5">
      <c r="A25">
        <v>22</v>
      </c>
      <c r="B25" t="s">
        <v>10</v>
      </c>
      <c r="C25" s="10">
        <v>3000000</v>
      </c>
      <c r="D25" s="14">
        <v>45793</v>
      </c>
      <c r="E25" s="2">
        <v>3</v>
      </c>
      <c r="F25" s="8">
        <v>0.02</v>
      </c>
      <c r="G25" s="14">
        <f t="shared" si="32"/>
        <v>45885</v>
      </c>
      <c r="H25" s="4">
        <f t="shared" si="14"/>
        <v>180000</v>
      </c>
      <c r="I25" s="4">
        <f t="shared" ref="I25" si="33">M25+P25+S25+W25</f>
        <v>3180000</v>
      </c>
      <c r="J25" s="4">
        <f t="shared" ref="J25" si="34">X25</f>
        <v>3624</v>
      </c>
      <c r="K25" s="2" t="s">
        <v>23</v>
      </c>
      <c r="L25" s="26">
        <f t="shared" ref="L25" si="35">C25*F25 +C25</f>
        <v>3060000</v>
      </c>
      <c r="M25" s="27"/>
      <c r="N25" s="28">
        <f t="shared" ref="N25" si="36">L25-M25</f>
        <v>3060000</v>
      </c>
      <c r="O25" s="29">
        <f t="shared" ref="O25" si="37">N25*(1+F25)</f>
        <v>3121200</v>
      </c>
      <c r="P25" s="30"/>
      <c r="Q25" s="31">
        <f t="shared" ref="Q25" si="38">O25-P25</f>
        <v>3121200</v>
      </c>
      <c r="R25" s="36">
        <f t="shared" ref="R25" si="39">Q25*(1+F25)</f>
        <v>3183624</v>
      </c>
      <c r="S25" s="22">
        <v>3180000</v>
      </c>
      <c r="T25" s="22">
        <f t="shared" ref="T25" si="40">R25-S25</f>
        <v>3624</v>
      </c>
      <c r="U25" s="24">
        <v>0</v>
      </c>
      <c r="V25" s="24">
        <f t="shared" ref="V25" si="41">T25*POWER((1+4%),U25)</f>
        <v>3624</v>
      </c>
      <c r="W25" s="24"/>
      <c r="X25" s="24">
        <f t="shared" ref="X25" si="42">V25-W25</f>
        <v>3624</v>
      </c>
    </row>
    <row r="26" spans="1:24" x14ac:dyDescent="0.5">
      <c r="A26">
        <v>23</v>
      </c>
      <c r="B26" t="s">
        <v>4</v>
      </c>
      <c r="C26" s="10">
        <v>1000000</v>
      </c>
      <c r="D26" s="14">
        <v>45798</v>
      </c>
      <c r="E26" s="51">
        <v>3</v>
      </c>
      <c r="F26" s="8">
        <v>0.02</v>
      </c>
      <c r="G26" s="14">
        <f t="shared" si="32"/>
        <v>45890</v>
      </c>
      <c r="H26" s="4">
        <f t="shared" si="14"/>
        <v>60000</v>
      </c>
      <c r="I26" s="4">
        <f t="shared" ref="I26" si="43">M26+P26+S26+W26</f>
        <v>1060000</v>
      </c>
      <c r="J26" s="4">
        <f t="shared" ref="J26:J27" si="44">X26</f>
        <v>1208</v>
      </c>
      <c r="K26" s="2" t="s">
        <v>23</v>
      </c>
      <c r="L26" s="26">
        <f t="shared" ref="L26" si="45">C26*F26 +C26</f>
        <v>1020000</v>
      </c>
      <c r="M26" s="27"/>
      <c r="N26" s="28">
        <f t="shared" ref="N26" si="46">L26-M26</f>
        <v>1020000</v>
      </c>
      <c r="O26" s="29">
        <f t="shared" ref="O26" si="47">N26*(1+F26)</f>
        <v>1040400</v>
      </c>
      <c r="P26" s="30"/>
      <c r="Q26" s="31">
        <f t="shared" ref="Q26" si="48">O26-P26</f>
        <v>1040400</v>
      </c>
      <c r="R26" s="36">
        <f t="shared" ref="R26" si="49">Q26*(1+F26)</f>
        <v>1061208</v>
      </c>
      <c r="S26" s="22">
        <v>1060000</v>
      </c>
      <c r="T26" s="22">
        <f t="shared" ref="T26" si="50">R26-S26</f>
        <v>1208</v>
      </c>
      <c r="V26" s="24">
        <f>T26*POWER((1+4%),U27)</f>
        <v>1208</v>
      </c>
      <c r="W26" s="24"/>
      <c r="X26" s="24">
        <f t="shared" ref="X26" si="51">V26-W26</f>
        <v>1208</v>
      </c>
    </row>
    <row r="27" spans="1:24" x14ac:dyDescent="0.5">
      <c r="A27">
        <v>24</v>
      </c>
      <c r="B27" t="s">
        <v>5</v>
      </c>
      <c r="C27" s="10">
        <v>2000000</v>
      </c>
      <c r="D27" s="14">
        <v>45840</v>
      </c>
      <c r="E27" s="51">
        <v>3</v>
      </c>
      <c r="F27" s="8">
        <v>0.02</v>
      </c>
      <c r="G27" s="14">
        <f t="shared" si="32"/>
        <v>45932</v>
      </c>
      <c r="H27" s="4">
        <f t="shared" si="14"/>
        <v>120000</v>
      </c>
      <c r="I27" s="4">
        <f t="shared" ref="I27" si="52">M27+P27+S27+W27</f>
        <v>2120000</v>
      </c>
      <c r="J27" s="4">
        <f t="shared" si="44"/>
        <v>2512.64</v>
      </c>
      <c r="K27" s="2" t="s">
        <v>23</v>
      </c>
      <c r="L27" s="26">
        <f t="shared" ref="L27" si="53">C27*F27 +C27</f>
        <v>2040000</v>
      </c>
      <c r="M27" s="27"/>
      <c r="N27" s="28">
        <f t="shared" ref="N27" si="54">L27-M27</f>
        <v>2040000</v>
      </c>
      <c r="O27" s="29">
        <f t="shared" ref="O27" si="55">N27*(1+F27)</f>
        <v>2080800</v>
      </c>
      <c r="P27" s="30"/>
      <c r="Q27" s="31">
        <f t="shared" ref="Q27" si="56">O27-P27</f>
        <v>2080800</v>
      </c>
      <c r="R27" s="36">
        <f t="shared" ref="R27" si="57">Q27*(1+F27)</f>
        <v>2122416</v>
      </c>
      <c r="S27" s="22">
        <v>2120000</v>
      </c>
      <c r="T27" s="22">
        <f t="shared" ref="T27" si="58">R27-S27</f>
        <v>2416</v>
      </c>
      <c r="U27" s="24">
        <v>0</v>
      </c>
      <c r="V27" s="24">
        <f>T27*POWER((1+4%),U28)</f>
        <v>2512.64</v>
      </c>
      <c r="W27" s="24"/>
      <c r="X27" s="24">
        <f t="shared" ref="X27" si="59">V27-W27</f>
        <v>2512.64</v>
      </c>
    </row>
    <row r="28" spans="1:24" x14ac:dyDescent="0.5">
      <c r="A28">
        <v>25</v>
      </c>
      <c r="B28" t="s">
        <v>1</v>
      </c>
      <c r="C28" s="10">
        <v>2000000</v>
      </c>
      <c r="D28" s="14">
        <v>45847</v>
      </c>
      <c r="E28" s="51">
        <v>3</v>
      </c>
      <c r="F28" s="8">
        <v>0.02</v>
      </c>
      <c r="G28" s="14">
        <f t="shared" ref="G28" si="60">DATE(YEAR(D28),MONTH(D28)+3,DAY(D28))</f>
        <v>45939</v>
      </c>
      <c r="H28" s="4">
        <f t="shared" ref="H28" si="61">M28+P28+S28+W28-C28</f>
        <v>200000</v>
      </c>
      <c r="I28" s="4">
        <f t="shared" ref="I28" si="62">M28+P28+S28+W28</f>
        <v>2200000</v>
      </c>
      <c r="J28" s="4">
        <f t="shared" ref="J28" si="63">X28</f>
        <v>0</v>
      </c>
      <c r="K28" s="2" t="s">
        <v>23</v>
      </c>
      <c r="L28" s="26">
        <f t="shared" ref="L28" si="64">C28*F28 +C28</f>
        <v>2040000</v>
      </c>
      <c r="M28" s="27">
        <v>40000</v>
      </c>
      <c r="N28" s="28">
        <f t="shared" ref="N28" si="65">L28-M28</f>
        <v>2000000</v>
      </c>
      <c r="O28" s="29">
        <f t="shared" ref="O28" si="66">N28*(1+F28)</f>
        <v>2040000</v>
      </c>
      <c r="P28" s="30">
        <v>40000</v>
      </c>
      <c r="Q28" s="31">
        <f t="shared" ref="Q28" si="67">O28-P28</f>
        <v>2000000</v>
      </c>
      <c r="R28" s="36">
        <f t="shared" ref="R28" si="68">Q28*(1+F28)</f>
        <v>2040000</v>
      </c>
      <c r="S28" s="22">
        <v>40000</v>
      </c>
      <c r="T28" s="22">
        <f t="shared" ref="T28" si="69">R28-S28</f>
        <v>2000000</v>
      </c>
      <c r="U28" s="24">
        <v>1</v>
      </c>
      <c r="V28" s="24">
        <f t="shared" ref="V28" si="70">T28*POWER((1+4%),U28)</f>
        <v>2080000</v>
      </c>
      <c r="W28" s="24">
        <v>2080000</v>
      </c>
      <c r="X28" s="24">
        <f t="shared" ref="X28" si="71">V28-W28</f>
        <v>0</v>
      </c>
    </row>
    <row r="29" spans="1:24" x14ac:dyDescent="0.5">
      <c r="A29">
        <v>26</v>
      </c>
      <c r="B29" t="s">
        <v>2</v>
      </c>
      <c r="C29" s="10">
        <v>2000001</v>
      </c>
      <c r="D29" s="14">
        <v>45798</v>
      </c>
      <c r="E29" s="51">
        <v>3</v>
      </c>
      <c r="F29" s="8">
        <v>0.02</v>
      </c>
      <c r="G29" s="14">
        <f t="shared" ref="G29" si="72">DATE(YEAR(D29),MONTH(D29)+3,DAY(D29))</f>
        <v>45890</v>
      </c>
      <c r="H29" s="4">
        <f t="shared" si="14"/>
        <v>119999</v>
      </c>
      <c r="I29" s="4">
        <f t="shared" ref="I29" si="73">M29+P29+S29+W29</f>
        <v>2120000</v>
      </c>
      <c r="J29" s="4">
        <f t="shared" ref="J29" si="74">X29</f>
        <v>2513.7436563199385</v>
      </c>
      <c r="K29" s="2" t="s">
        <v>23</v>
      </c>
      <c r="L29" s="26">
        <f t="shared" ref="L29" si="75">C29*F29 +C29</f>
        <v>2040001.02</v>
      </c>
      <c r="M29" s="27"/>
      <c r="N29" s="28">
        <f t="shared" ref="N29" si="76">L29-M29</f>
        <v>2040001.02</v>
      </c>
      <c r="O29" s="29">
        <f t="shared" ref="O29" si="77">N29*(1+F29)</f>
        <v>2080801.0404000001</v>
      </c>
      <c r="P29" s="30"/>
      <c r="Q29" s="31">
        <f t="shared" ref="Q29" si="78">O29-P29</f>
        <v>2080801.0404000001</v>
      </c>
      <c r="R29" s="36">
        <f t="shared" ref="R29" si="79">Q29*(1+F29)</f>
        <v>2122417.0612079999</v>
      </c>
      <c r="S29" s="22">
        <v>2120000</v>
      </c>
      <c r="T29" s="22">
        <f t="shared" ref="T29" si="80">R29-S29</f>
        <v>2417.061207999941</v>
      </c>
      <c r="U29" s="24">
        <v>1</v>
      </c>
      <c r="V29" s="24">
        <f t="shared" ref="V29" si="81">T29*POWER((1+4%),U29)</f>
        <v>2513.7436563199385</v>
      </c>
      <c r="W29" s="24"/>
      <c r="X29" s="24">
        <f t="shared" ref="X29" si="82">V29-W29</f>
        <v>2513.7436563199385</v>
      </c>
    </row>
    <row r="30" spans="1:24" x14ac:dyDescent="0.5">
      <c r="A30">
        <v>27</v>
      </c>
      <c r="B30" t="s">
        <v>4</v>
      </c>
      <c r="C30" s="10">
        <v>1000000</v>
      </c>
      <c r="D30" s="14">
        <v>45876</v>
      </c>
      <c r="E30" s="51">
        <v>3</v>
      </c>
      <c r="F30" s="8">
        <v>0.02</v>
      </c>
      <c r="G30" s="14">
        <f t="shared" ref="G30" si="83">DATE(YEAR(D30),MONTH(D30)+3,DAY(D30))</f>
        <v>45968</v>
      </c>
      <c r="H30" s="4">
        <f t="shared" ref="H30" si="84">M30+P30+S30+W30-C30</f>
        <v>100000</v>
      </c>
      <c r="I30" s="4">
        <f t="shared" ref="I30" si="85">M30+P30+S30+W30</f>
        <v>1100000</v>
      </c>
      <c r="J30" s="4">
        <f t="shared" ref="J30" si="86">X30</f>
        <v>3656.3200000000652</v>
      </c>
      <c r="K30" s="2" t="s">
        <v>23</v>
      </c>
      <c r="L30" s="26">
        <f t="shared" ref="L30" si="87">C30*F30 +C30</f>
        <v>1020000</v>
      </c>
      <c r="M30" s="27"/>
      <c r="N30" s="28">
        <f t="shared" ref="N30" si="88">L30-M30</f>
        <v>1020000</v>
      </c>
      <c r="O30" s="29">
        <f t="shared" ref="O30" si="89">N30*(1+F30)</f>
        <v>1040400</v>
      </c>
      <c r="P30" s="30"/>
      <c r="Q30" s="31">
        <f t="shared" ref="Q30" si="90">O30-P30</f>
        <v>1040400</v>
      </c>
      <c r="R30" s="36">
        <f t="shared" ref="R30" si="91">Q30*(1+F30)</f>
        <v>1061208</v>
      </c>
      <c r="S30" s="22"/>
      <c r="T30" s="22">
        <f t="shared" ref="T30" si="92">R30-S30</f>
        <v>1061208</v>
      </c>
      <c r="U30" s="24">
        <v>1</v>
      </c>
      <c r="V30" s="24">
        <f t="shared" ref="V30" si="93">T30*POWER((1+4%),U30)</f>
        <v>1103656.32</v>
      </c>
      <c r="W30" s="24">
        <v>1100000</v>
      </c>
      <c r="X30" s="24">
        <f t="shared" ref="X30" si="94">V30-W30</f>
        <v>3656.3200000000652</v>
      </c>
    </row>
    <row r="31" spans="1:24" x14ac:dyDescent="0.5">
      <c r="A31">
        <v>28</v>
      </c>
      <c r="B31" t="s">
        <v>2</v>
      </c>
      <c r="C31" s="10">
        <v>2000000</v>
      </c>
      <c r="D31" s="14">
        <v>45894</v>
      </c>
      <c r="E31" s="51">
        <v>3</v>
      </c>
      <c r="F31" s="8">
        <v>0.02</v>
      </c>
      <c r="G31" s="14">
        <f t="shared" ref="G31:G32" si="95">DATE(YEAR(D31),MONTH(D31)+3,DAY(D31))</f>
        <v>45986</v>
      </c>
      <c r="H31" s="4">
        <f t="shared" ref="H31:H37" si="96">M31+P31+S31+W31-C31</f>
        <v>120000</v>
      </c>
      <c r="I31" s="4">
        <f t="shared" ref="I31" si="97">M31+P31+S31+W31</f>
        <v>2120000</v>
      </c>
      <c r="J31" s="4">
        <f t="shared" ref="J31:J32" si="98">X31</f>
        <v>2416</v>
      </c>
      <c r="K31" s="2" t="s">
        <v>23</v>
      </c>
      <c r="L31" s="26">
        <f t="shared" ref="L31:L32" si="99">C31*F31 +C31</f>
        <v>2040000</v>
      </c>
      <c r="M31" s="27"/>
      <c r="N31" s="28">
        <f t="shared" ref="N31:N32" si="100">L31-M31</f>
        <v>2040000</v>
      </c>
      <c r="O31" s="29">
        <f t="shared" ref="O31:O32" si="101">N31*(1+F31)</f>
        <v>2080800</v>
      </c>
      <c r="P31" s="30"/>
      <c r="Q31" s="31">
        <f t="shared" ref="Q31:Q32" si="102">O31-P31</f>
        <v>2080800</v>
      </c>
      <c r="R31" s="36">
        <f t="shared" ref="R31:R32" si="103">Q31*(1+F31)</f>
        <v>2122416</v>
      </c>
      <c r="S31" s="22">
        <v>2120000</v>
      </c>
      <c r="T31" s="22">
        <f t="shared" ref="T31:T32" si="104">R31-S31</f>
        <v>2416</v>
      </c>
      <c r="U31" s="24">
        <v>0</v>
      </c>
      <c r="V31" s="24">
        <f t="shared" ref="V31:V32" si="105">T31*POWER((1+4%),U31)</f>
        <v>2416</v>
      </c>
      <c r="W31" s="24"/>
      <c r="X31" s="24">
        <f t="shared" ref="X31:X32" si="106">V31-W31</f>
        <v>2416</v>
      </c>
    </row>
    <row r="32" spans="1:24" x14ac:dyDescent="0.5">
      <c r="A32">
        <v>29</v>
      </c>
      <c r="B32" t="s">
        <v>10</v>
      </c>
      <c r="C32" s="10">
        <v>3000000</v>
      </c>
      <c r="D32" s="14">
        <v>45894</v>
      </c>
      <c r="E32" s="51">
        <v>3</v>
      </c>
      <c r="F32" s="8">
        <v>0.02</v>
      </c>
      <c r="G32" s="14">
        <f t="shared" si="95"/>
        <v>45986</v>
      </c>
      <c r="H32" s="4">
        <f t="shared" si="96"/>
        <v>180000</v>
      </c>
      <c r="I32" s="4">
        <f t="shared" ref="I32" si="107">M32+P32+S32+W32</f>
        <v>3180000</v>
      </c>
      <c r="J32" s="4">
        <f t="shared" si="98"/>
        <v>3624</v>
      </c>
      <c r="K32" s="2" t="s">
        <v>23</v>
      </c>
      <c r="L32" s="26">
        <f t="shared" si="99"/>
        <v>3060000</v>
      </c>
      <c r="M32" s="27"/>
      <c r="N32" s="28">
        <f t="shared" si="100"/>
        <v>3060000</v>
      </c>
      <c r="O32" s="29">
        <f t="shared" si="101"/>
        <v>3121200</v>
      </c>
      <c r="P32" s="30"/>
      <c r="Q32" s="31">
        <f t="shared" si="102"/>
        <v>3121200</v>
      </c>
      <c r="R32" s="36">
        <f t="shared" si="103"/>
        <v>3183624</v>
      </c>
      <c r="S32" s="22">
        <v>3180000</v>
      </c>
      <c r="T32" s="22">
        <f t="shared" si="104"/>
        <v>3624</v>
      </c>
      <c r="U32" s="24">
        <v>0</v>
      </c>
      <c r="V32" s="24">
        <f t="shared" si="105"/>
        <v>3624</v>
      </c>
      <c r="W32" s="24"/>
      <c r="X32" s="24">
        <f t="shared" si="106"/>
        <v>3624</v>
      </c>
    </row>
    <row r="33" spans="1:24" x14ac:dyDescent="0.5">
      <c r="A33">
        <v>30</v>
      </c>
      <c r="B33" t="s">
        <v>5</v>
      </c>
      <c r="C33" s="10">
        <v>2000000</v>
      </c>
      <c r="D33" s="14">
        <v>46021</v>
      </c>
      <c r="E33" s="51">
        <v>3</v>
      </c>
      <c r="F33" s="8">
        <v>0.02</v>
      </c>
      <c r="G33" s="14">
        <f t="shared" ref="G33" si="108">DATE(YEAR(D33),MONTH(D33)+3,DAY(D33))</f>
        <v>46111</v>
      </c>
      <c r="H33" s="4">
        <f t="shared" si="96"/>
        <v>120000</v>
      </c>
      <c r="I33" s="4">
        <f t="shared" ref="I33" si="109">M33+P33+S33+W33</f>
        <v>2120000</v>
      </c>
      <c r="J33" s="4">
        <f t="shared" ref="J33" si="110">X33</f>
        <v>2416</v>
      </c>
      <c r="K33" s="2" t="s">
        <v>23</v>
      </c>
      <c r="L33" s="26">
        <f t="shared" ref="L33" si="111">C33*F33 +C33</f>
        <v>2040000</v>
      </c>
      <c r="M33" s="27"/>
      <c r="N33" s="28">
        <f t="shared" ref="N33" si="112">L33-M33</f>
        <v>2040000</v>
      </c>
      <c r="O33" s="29">
        <f t="shared" ref="O33" si="113">N33*(1+F33)</f>
        <v>2080800</v>
      </c>
      <c r="P33" s="30"/>
      <c r="Q33" s="31">
        <f t="shared" ref="Q33" si="114">O33-P33</f>
        <v>2080800</v>
      </c>
      <c r="R33" s="36">
        <f t="shared" ref="R33" si="115">Q33*(1+F33)</f>
        <v>2122416</v>
      </c>
      <c r="S33" s="22">
        <v>2120000</v>
      </c>
      <c r="T33" s="22">
        <f t="shared" ref="T33" si="116">R33-S33</f>
        <v>2416</v>
      </c>
      <c r="U33" s="24">
        <v>0</v>
      </c>
      <c r="V33" s="24">
        <f t="shared" ref="V33" si="117">T33*POWER((1+4%),U33)</f>
        <v>2416</v>
      </c>
      <c r="W33" s="24"/>
      <c r="X33" s="24">
        <f t="shared" ref="X33:X37" si="118">V33-W33</f>
        <v>2416</v>
      </c>
    </row>
    <row r="34" spans="1:24" x14ac:dyDescent="0.5">
      <c r="A34">
        <v>31</v>
      </c>
      <c r="B34" t="s">
        <v>1</v>
      </c>
      <c r="C34" s="10">
        <v>2500000</v>
      </c>
      <c r="D34" s="14">
        <v>45975</v>
      </c>
      <c r="E34" s="51">
        <v>3</v>
      </c>
      <c r="F34" s="8">
        <v>0.02</v>
      </c>
      <c r="G34" s="14">
        <f t="shared" ref="G34:G37" si="119">DATE(YEAR(D34),MONTH(D34)+3,DAY(D34))</f>
        <v>46067</v>
      </c>
      <c r="H34" s="4">
        <f t="shared" si="96"/>
        <v>100000</v>
      </c>
      <c r="I34" s="4">
        <f t="shared" ref="I34:I37" si="120">M34+P34+S34+W34</f>
        <v>2600000</v>
      </c>
      <c r="J34" s="4">
        <f t="shared" ref="J34:J37" si="121">X34</f>
        <v>53020</v>
      </c>
      <c r="K34" s="2" t="s">
        <v>23</v>
      </c>
      <c r="L34" s="26">
        <f t="shared" ref="L34:L37" si="122">C34*F34 +C34</f>
        <v>2550000</v>
      </c>
      <c r="M34" s="27"/>
      <c r="N34" s="28">
        <f t="shared" ref="N34:N37" si="123">L34-M34</f>
        <v>2550000</v>
      </c>
      <c r="O34" s="29">
        <f t="shared" ref="O34:O37" si="124">N34*(1+F34)</f>
        <v>2601000</v>
      </c>
      <c r="P34" s="30"/>
      <c r="Q34" s="31">
        <f t="shared" ref="Q34:Q37" si="125">O34-P34</f>
        <v>2601000</v>
      </c>
      <c r="R34" s="36">
        <f t="shared" ref="R34:R37" si="126">Q34*(1+F34)</f>
        <v>2653020</v>
      </c>
      <c r="S34" s="22">
        <v>2600000</v>
      </c>
      <c r="T34" s="22">
        <f t="shared" ref="T34:T37" si="127">R34-S34</f>
        <v>53020</v>
      </c>
      <c r="U34" s="24">
        <v>0</v>
      </c>
      <c r="V34" s="24">
        <f t="shared" ref="V34:V37" si="128">T34*POWER((1+4%),U34)</f>
        <v>53020</v>
      </c>
      <c r="W34" s="24"/>
      <c r="X34" s="24">
        <f t="shared" si="118"/>
        <v>53020</v>
      </c>
    </row>
    <row r="35" spans="1:24" x14ac:dyDescent="0.5">
      <c r="A35">
        <v>32</v>
      </c>
      <c r="B35" t="s">
        <v>4</v>
      </c>
      <c r="C35" s="10">
        <v>1500000</v>
      </c>
      <c r="D35" s="14">
        <v>45988</v>
      </c>
      <c r="E35" s="51">
        <v>3</v>
      </c>
      <c r="F35" s="8">
        <v>0.02</v>
      </c>
      <c r="G35" s="14">
        <f t="shared" si="119"/>
        <v>46080</v>
      </c>
      <c r="H35" s="4">
        <f t="shared" si="96"/>
        <v>90000</v>
      </c>
      <c r="I35" s="4">
        <f t="shared" si="120"/>
        <v>1590000</v>
      </c>
      <c r="J35" s="4">
        <f t="shared" si="121"/>
        <v>1812</v>
      </c>
      <c r="K35" s="2" t="s">
        <v>23</v>
      </c>
      <c r="L35" s="26">
        <f t="shared" si="122"/>
        <v>1530000</v>
      </c>
      <c r="M35" s="27"/>
      <c r="N35" s="28">
        <f t="shared" si="123"/>
        <v>1530000</v>
      </c>
      <c r="O35" s="29">
        <f t="shared" si="124"/>
        <v>1560600</v>
      </c>
      <c r="P35" s="30"/>
      <c r="Q35" s="31">
        <f t="shared" si="125"/>
        <v>1560600</v>
      </c>
      <c r="R35" s="36">
        <f t="shared" si="126"/>
        <v>1591812</v>
      </c>
      <c r="S35" s="22">
        <v>1590000</v>
      </c>
      <c r="T35" s="22">
        <f t="shared" si="127"/>
        <v>1812</v>
      </c>
      <c r="U35" s="24">
        <v>0</v>
      </c>
      <c r="V35" s="24">
        <f t="shared" si="128"/>
        <v>1812</v>
      </c>
      <c r="W35" s="24"/>
      <c r="X35" s="24">
        <f t="shared" si="118"/>
        <v>1812</v>
      </c>
    </row>
    <row r="36" spans="1:24" x14ac:dyDescent="0.5">
      <c r="A36">
        <v>33</v>
      </c>
      <c r="B36" t="s">
        <v>2</v>
      </c>
      <c r="C36" s="10">
        <v>2000000</v>
      </c>
      <c r="D36" s="14">
        <v>45988</v>
      </c>
      <c r="E36" s="51">
        <v>3</v>
      </c>
      <c r="F36" s="8">
        <v>0.02</v>
      </c>
      <c r="G36" s="14">
        <f t="shared" si="119"/>
        <v>46080</v>
      </c>
      <c r="H36" s="4">
        <f t="shared" si="96"/>
        <v>120000</v>
      </c>
      <c r="I36" s="4">
        <f t="shared" si="120"/>
        <v>2120000</v>
      </c>
      <c r="J36" s="4">
        <f t="shared" si="121"/>
        <v>2416</v>
      </c>
      <c r="K36" s="2" t="s">
        <v>23</v>
      </c>
      <c r="L36" s="26">
        <f t="shared" si="122"/>
        <v>2040000</v>
      </c>
      <c r="M36" s="27"/>
      <c r="N36" s="28">
        <f t="shared" si="123"/>
        <v>2040000</v>
      </c>
      <c r="O36" s="29">
        <f t="shared" si="124"/>
        <v>2080800</v>
      </c>
      <c r="P36" s="30"/>
      <c r="Q36" s="31">
        <f t="shared" si="125"/>
        <v>2080800</v>
      </c>
      <c r="R36" s="36">
        <f t="shared" si="126"/>
        <v>2122416</v>
      </c>
      <c r="S36" s="22">
        <v>2120000</v>
      </c>
      <c r="T36" s="22">
        <f t="shared" si="127"/>
        <v>2416</v>
      </c>
      <c r="U36" s="24">
        <v>0</v>
      </c>
      <c r="V36" s="24">
        <f t="shared" si="128"/>
        <v>2416</v>
      </c>
      <c r="W36" s="24"/>
      <c r="X36" s="24">
        <f t="shared" si="118"/>
        <v>2416</v>
      </c>
    </row>
    <row r="37" spans="1:24" x14ac:dyDescent="0.5">
      <c r="A37">
        <v>34</v>
      </c>
      <c r="B37" t="s">
        <v>10</v>
      </c>
      <c r="C37" s="10">
        <v>3000000</v>
      </c>
      <c r="D37" s="14">
        <v>45992</v>
      </c>
      <c r="E37" s="51">
        <v>3</v>
      </c>
      <c r="F37" s="8">
        <v>0.02</v>
      </c>
      <c r="G37" s="14">
        <f t="shared" si="119"/>
        <v>46082</v>
      </c>
      <c r="H37" s="4">
        <f t="shared" si="96"/>
        <v>180000</v>
      </c>
      <c r="I37" s="4">
        <f t="shared" si="120"/>
        <v>3180000</v>
      </c>
      <c r="J37" s="4">
        <f t="shared" si="121"/>
        <v>3624</v>
      </c>
      <c r="K37" s="2" t="s">
        <v>23</v>
      </c>
      <c r="L37" s="26">
        <f t="shared" si="122"/>
        <v>3060000</v>
      </c>
      <c r="M37" s="27"/>
      <c r="N37" s="28">
        <f t="shared" si="123"/>
        <v>3060000</v>
      </c>
      <c r="O37" s="29">
        <f t="shared" si="124"/>
        <v>3121200</v>
      </c>
      <c r="P37" s="30"/>
      <c r="Q37" s="31">
        <f t="shared" si="125"/>
        <v>3121200</v>
      </c>
      <c r="R37" s="36">
        <f t="shared" si="126"/>
        <v>3183624</v>
      </c>
      <c r="S37" s="22">
        <v>3180000</v>
      </c>
      <c r="T37" s="22">
        <f t="shared" si="127"/>
        <v>3624</v>
      </c>
      <c r="U37" s="24">
        <v>0</v>
      </c>
      <c r="V37" s="24">
        <f t="shared" si="128"/>
        <v>3624</v>
      </c>
      <c r="W37" s="24"/>
      <c r="X37" s="24">
        <f t="shared" si="118"/>
        <v>3624</v>
      </c>
    </row>
    <row r="38" spans="1:24" x14ac:dyDescent="0.5">
      <c r="A38">
        <v>35</v>
      </c>
      <c r="B38" t="s">
        <v>1</v>
      </c>
      <c r="C38" s="10">
        <v>2500000</v>
      </c>
      <c r="D38" s="14">
        <v>46071</v>
      </c>
      <c r="E38" s="51">
        <v>3</v>
      </c>
      <c r="F38" s="8">
        <v>0.02</v>
      </c>
      <c r="G38" s="14">
        <f t="shared" ref="G38:G39" si="129">DATE(YEAR(D38),MONTH(D38)+3,DAY(D38))</f>
        <v>46160</v>
      </c>
      <c r="H38" s="4"/>
      <c r="I38" s="4">
        <f t="shared" ref="I38:I39" si="130">M38+P38+S38+W38</f>
        <v>0</v>
      </c>
      <c r="J38" s="4">
        <f t="shared" ref="J38:J39" si="131">X38</f>
        <v>2759140.8000000003</v>
      </c>
      <c r="K38" s="2" t="s">
        <v>22</v>
      </c>
      <c r="L38" s="26">
        <f t="shared" ref="L38:L39" si="132">C38*F38 +C38</f>
        <v>2550000</v>
      </c>
      <c r="M38" s="27"/>
      <c r="N38" s="28">
        <f t="shared" ref="N38:N39" si="133">L38-M38</f>
        <v>2550000</v>
      </c>
      <c r="O38" s="29">
        <f t="shared" ref="O38:O39" si="134">N38*(1+F38)</f>
        <v>2601000</v>
      </c>
      <c r="P38" s="30"/>
      <c r="Q38" s="31">
        <f t="shared" ref="Q38:Q39" si="135">O38-P38</f>
        <v>2601000</v>
      </c>
      <c r="R38" s="36">
        <f t="shared" ref="R38:R39" si="136">Q38*(1+F38)</f>
        <v>2653020</v>
      </c>
      <c r="S38" s="22"/>
      <c r="T38" s="22">
        <f t="shared" ref="T38:T39" si="137">R38-S38</f>
        <v>2653020</v>
      </c>
      <c r="U38" s="24">
        <v>1</v>
      </c>
      <c r="V38" s="24">
        <f t="shared" ref="V38:V39" si="138">T38*POWER((1+4%),U38)</f>
        <v>2759140.8000000003</v>
      </c>
      <c r="W38" s="24"/>
      <c r="X38" s="24">
        <f t="shared" ref="X38:X39" si="139">V38-W38</f>
        <v>2759140.8000000003</v>
      </c>
    </row>
    <row r="39" spans="1:24" x14ac:dyDescent="0.5">
      <c r="A39">
        <v>36</v>
      </c>
      <c r="B39" t="s">
        <v>4</v>
      </c>
      <c r="C39" s="10">
        <v>2000000</v>
      </c>
      <c r="D39" s="14">
        <v>46078</v>
      </c>
      <c r="E39" s="51">
        <v>3</v>
      </c>
      <c r="F39" s="8">
        <v>0.02</v>
      </c>
      <c r="G39" s="14">
        <f t="shared" si="129"/>
        <v>46167</v>
      </c>
      <c r="H39" s="4"/>
      <c r="I39" s="4">
        <f t="shared" si="130"/>
        <v>0</v>
      </c>
      <c r="J39" s="4">
        <f t="shared" si="131"/>
        <v>2295605.1456000004</v>
      </c>
      <c r="K39" s="2" t="s">
        <v>22</v>
      </c>
      <c r="L39" s="26">
        <f t="shared" si="132"/>
        <v>2040000</v>
      </c>
      <c r="M39" s="27"/>
      <c r="N39" s="28">
        <f t="shared" si="133"/>
        <v>2040000</v>
      </c>
      <c r="O39" s="29">
        <f t="shared" si="134"/>
        <v>2080800</v>
      </c>
      <c r="P39" s="30"/>
      <c r="Q39" s="31">
        <f t="shared" si="135"/>
        <v>2080800</v>
      </c>
      <c r="R39" s="36">
        <f t="shared" si="136"/>
        <v>2122416</v>
      </c>
      <c r="S39" s="22"/>
      <c r="T39" s="22">
        <f t="shared" si="137"/>
        <v>2122416</v>
      </c>
      <c r="U39" s="24">
        <v>2</v>
      </c>
      <c r="V39" s="24">
        <f t="shared" si="138"/>
        <v>2295605.1456000004</v>
      </c>
      <c r="W39" s="24"/>
      <c r="X39" s="24">
        <f t="shared" si="139"/>
        <v>2295605.1456000004</v>
      </c>
    </row>
    <row r="40" spans="1:24" x14ac:dyDescent="0.5">
      <c r="A40">
        <v>37</v>
      </c>
      <c r="B40" t="s">
        <v>2</v>
      </c>
      <c r="C40" s="10">
        <v>2000000</v>
      </c>
      <c r="D40" s="14">
        <v>46081</v>
      </c>
      <c r="E40" s="51">
        <v>3</v>
      </c>
      <c r="F40" s="8">
        <v>0.02</v>
      </c>
      <c r="G40" s="14">
        <f t="shared" ref="G40:G41" si="140">DATE(YEAR(D40),MONTH(D40)+3,DAY(D40))</f>
        <v>46170</v>
      </c>
      <c r="H40" s="4"/>
      <c r="I40" s="4">
        <f t="shared" ref="I40:I41" si="141">M40+P40+S40+W40</f>
        <v>0</v>
      </c>
      <c r="J40" s="4">
        <f t="shared" ref="J40:J41" si="142">X40</f>
        <v>2387429.3514240002</v>
      </c>
      <c r="K40" s="2" t="s">
        <v>22</v>
      </c>
      <c r="L40" s="26">
        <f t="shared" ref="L40:L41" si="143">C40*F40 +C40</f>
        <v>2040000</v>
      </c>
      <c r="M40" s="27"/>
      <c r="N40" s="28">
        <f t="shared" ref="N40:N41" si="144">L40-M40</f>
        <v>2040000</v>
      </c>
      <c r="O40" s="29">
        <f t="shared" ref="O40:O41" si="145">N40*(1+F40)</f>
        <v>2080800</v>
      </c>
      <c r="P40" s="30"/>
      <c r="Q40" s="31">
        <f t="shared" ref="Q40:Q41" si="146">O40-P40</f>
        <v>2080800</v>
      </c>
      <c r="R40" s="36">
        <f t="shared" ref="R40:R41" si="147">Q40*(1+F40)</f>
        <v>2122416</v>
      </c>
      <c r="S40" s="22"/>
      <c r="T40" s="22">
        <f t="shared" ref="T40:T41" si="148">R40-S40</f>
        <v>2122416</v>
      </c>
      <c r="U40" s="24">
        <v>3</v>
      </c>
      <c r="V40" s="24">
        <f t="shared" ref="V40:V41" si="149">T40*POWER((1+4%),U40)</f>
        <v>2387429.3514240002</v>
      </c>
      <c r="W40" s="24"/>
      <c r="X40" s="24">
        <f t="shared" ref="X40:X41" si="150">V40-W40</f>
        <v>2387429.3514240002</v>
      </c>
    </row>
    <row r="41" spans="1:24" x14ac:dyDescent="0.5">
      <c r="A41">
        <v>38</v>
      </c>
      <c r="B41" t="s">
        <v>10</v>
      </c>
      <c r="C41" s="10">
        <v>3000000</v>
      </c>
      <c r="D41" s="14">
        <v>46097</v>
      </c>
      <c r="E41" s="51">
        <v>3</v>
      </c>
      <c r="F41" s="8">
        <v>0.02</v>
      </c>
      <c r="G41" s="14">
        <f t="shared" si="140"/>
        <v>46189</v>
      </c>
      <c r="H41" s="4"/>
      <c r="I41" s="4">
        <f t="shared" si="141"/>
        <v>0</v>
      </c>
      <c r="J41" s="4">
        <f t="shared" si="142"/>
        <v>3724389.7882214407</v>
      </c>
      <c r="K41" s="2" t="s">
        <v>22</v>
      </c>
      <c r="L41" s="26">
        <f t="shared" si="143"/>
        <v>3060000</v>
      </c>
      <c r="M41" s="27"/>
      <c r="N41" s="28">
        <f t="shared" si="144"/>
        <v>3060000</v>
      </c>
      <c r="O41" s="29">
        <f t="shared" si="145"/>
        <v>3121200</v>
      </c>
      <c r="P41" s="30"/>
      <c r="Q41" s="31">
        <f t="shared" si="146"/>
        <v>3121200</v>
      </c>
      <c r="R41" s="36">
        <f t="shared" si="147"/>
        <v>3183624</v>
      </c>
      <c r="S41" s="22"/>
      <c r="T41" s="22">
        <f t="shared" si="148"/>
        <v>3183624</v>
      </c>
      <c r="U41" s="24">
        <v>4</v>
      </c>
      <c r="V41" s="24">
        <f t="shared" si="149"/>
        <v>3724389.7882214407</v>
      </c>
      <c r="W41" s="24"/>
      <c r="X41" s="24">
        <f t="shared" si="150"/>
        <v>3724389.7882214407</v>
      </c>
    </row>
    <row r="42" spans="1:24" x14ac:dyDescent="0.5">
      <c r="A42">
        <v>39</v>
      </c>
      <c r="B42" t="s">
        <v>5</v>
      </c>
      <c r="C42" s="10">
        <v>2000000</v>
      </c>
      <c r="D42" s="14">
        <v>46118</v>
      </c>
      <c r="E42" s="51">
        <v>3</v>
      </c>
      <c r="F42" s="8">
        <v>0.02</v>
      </c>
      <c r="G42" s="14">
        <f t="shared" ref="G42" si="151">DATE(YEAR(D42),MONTH(D42)+3,DAY(D42))</f>
        <v>46209</v>
      </c>
      <c r="H42" s="4"/>
      <c r="I42" s="4">
        <f t="shared" ref="I42" si="152">M42+P42+S42+W42</f>
        <v>0</v>
      </c>
      <c r="J42" s="4">
        <f t="shared" ref="J42" si="153">X42</f>
        <v>2582243.586500199</v>
      </c>
      <c r="K42" s="2" t="s">
        <v>22</v>
      </c>
      <c r="L42" s="26">
        <f t="shared" ref="L42" si="154">C42*F42 +C42</f>
        <v>2040000</v>
      </c>
      <c r="M42" s="27"/>
      <c r="N42" s="28">
        <f t="shared" ref="N42" si="155">L42-M42</f>
        <v>2040000</v>
      </c>
      <c r="O42" s="29">
        <f t="shared" ref="O42" si="156">N42*(1+F42)</f>
        <v>2080800</v>
      </c>
      <c r="P42" s="30"/>
      <c r="Q42" s="31">
        <f t="shared" ref="Q42" si="157">O42-P42</f>
        <v>2080800</v>
      </c>
      <c r="R42" s="36">
        <f t="shared" ref="R42" si="158">Q42*(1+F42)</f>
        <v>2122416</v>
      </c>
      <c r="S42" s="22"/>
      <c r="T42" s="22">
        <f t="shared" ref="T42" si="159">R42-S42</f>
        <v>2122416</v>
      </c>
      <c r="U42" s="24">
        <v>5</v>
      </c>
      <c r="V42" s="24">
        <f t="shared" ref="V42" si="160">T42*POWER((1+4%),U42)</f>
        <v>2582243.586500199</v>
      </c>
      <c r="W42" s="24"/>
      <c r="X42" s="24">
        <f t="shared" ref="X42" si="161">V42-W42</f>
        <v>2582243.586500199</v>
      </c>
    </row>
    <row r="43" spans="1:24" x14ac:dyDescent="0.5">
      <c r="A43">
        <v>40</v>
      </c>
      <c r="H43" s="10"/>
      <c r="I43" s="10"/>
      <c r="J43" s="10"/>
    </row>
    <row r="44" spans="1:24" x14ac:dyDescent="0.5">
      <c r="A44">
        <v>41</v>
      </c>
      <c r="H44" s="10"/>
      <c r="I44" s="10"/>
      <c r="J44" s="10"/>
    </row>
    <row r="45" spans="1:24" x14ac:dyDescent="0.5">
      <c r="A45">
        <v>42</v>
      </c>
      <c r="H45" s="10"/>
      <c r="I45" s="10"/>
      <c r="J45" s="10"/>
    </row>
    <row r="46" spans="1:24" x14ac:dyDescent="0.5">
      <c r="H46" s="10"/>
      <c r="I46" s="10"/>
      <c r="J46" s="10"/>
    </row>
    <row r="47" spans="1:24" x14ac:dyDescent="0.5">
      <c r="H47" s="10"/>
      <c r="I47" s="10"/>
      <c r="J47" s="10"/>
    </row>
    <row r="48" spans="1:24" x14ac:dyDescent="0.5">
      <c r="H48" s="10"/>
      <c r="I48" s="10"/>
      <c r="J48" s="10"/>
    </row>
    <row r="49" spans="8:10" x14ac:dyDescent="0.5">
      <c r="H49" s="10"/>
      <c r="I49" s="10"/>
      <c r="J49" s="10"/>
    </row>
    <row r="50" spans="8:10" x14ac:dyDescent="0.5">
      <c r="H50" s="10"/>
      <c r="I50" s="10"/>
      <c r="J50" s="10"/>
    </row>
    <row r="51" spans="8:10" x14ac:dyDescent="0.5">
      <c r="H51" s="10"/>
      <c r="I51" s="10"/>
      <c r="J51" s="10"/>
    </row>
    <row r="52" spans="8:10" x14ac:dyDescent="0.5">
      <c r="H52" s="10"/>
      <c r="I52" s="10"/>
      <c r="J52" s="10"/>
    </row>
    <row r="53" spans="8:10" x14ac:dyDescent="0.5">
      <c r="H53" s="10"/>
      <c r="I53" s="10"/>
      <c r="J53" s="10"/>
    </row>
    <row r="54" spans="8:10" x14ac:dyDescent="0.5">
      <c r="H54" s="10"/>
      <c r="I54" s="10"/>
      <c r="J54" s="10"/>
    </row>
    <row r="55" spans="8:10" x14ac:dyDescent="0.5">
      <c r="H55" s="10"/>
      <c r="I55" s="10"/>
      <c r="J55" s="10"/>
    </row>
    <row r="56" spans="8:10" x14ac:dyDescent="0.5">
      <c r="H56" s="10"/>
      <c r="I56" s="10"/>
      <c r="J56" s="10"/>
    </row>
    <row r="57" spans="8:10" x14ac:dyDescent="0.5">
      <c r="H57" s="10"/>
      <c r="I57" s="10"/>
      <c r="J57" s="10"/>
    </row>
    <row r="58" spans="8:10" x14ac:dyDescent="0.5">
      <c r="H58" s="10"/>
      <c r="I58" s="10"/>
      <c r="J58" s="10"/>
    </row>
    <row r="59" spans="8:10" x14ac:dyDescent="0.5">
      <c r="H59" s="10"/>
      <c r="I59" s="10"/>
      <c r="J59" s="10"/>
    </row>
    <row r="60" spans="8:10" x14ac:dyDescent="0.5">
      <c r="H60" s="10"/>
      <c r="I60" s="10"/>
      <c r="J60" s="10"/>
    </row>
    <row r="61" spans="8:10" x14ac:dyDescent="0.5">
      <c r="H61" s="10"/>
      <c r="I61" s="10"/>
      <c r="J61" s="10"/>
    </row>
    <row r="62" spans="8:10" x14ac:dyDescent="0.5">
      <c r="H62" s="10"/>
      <c r="I62" s="10"/>
      <c r="J62" s="10"/>
    </row>
    <row r="63" spans="8:10" x14ac:dyDescent="0.5">
      <c r="H63" s="10"/>
      <c r="I63" s="10"/>
      <c r="J63" s="10"/>
    </row>
    <row r="64" spans="8:10" x14ac:dyDescent="0.5">
      <c r="H64" s="10"/>
      <c r="I64" s="10"/>
      <c r="J64" s="10"/>
    </row>
    <row r="65" spans="8:10" x14ac:dyDescent="0.5">
      <c r="H65" s="10"/>
      <c r="I65" s="10"/>
      <c r="J65" s="10"/>
    </row>
    <row r="66" spans="8:10" x14ac:dyDescent="0.5">
      <c r="H66" s="10"/>
      <c r="I66" s="10"/>
      <c r="J66" s="10"/>
    </row>
    <row r="67" spans="8:10" x14ac:dyDescent="0.5">
      <c r="H67" s="10"/>
      <c r="I67" s="10"/>
      <c r="J67" s="10"/>
    </row>
    <row r="68" spans="8:10" x14ac:dyDescent="0.5">
      <c r="H68" s="10"/>
      <c r="I68" s="10"/>
      <c r="J68" s="10"/>
    </row>
    <row r="69" spans="8:10" x14ac:dyDescent="0.5">
      <c r="H69" s="10"/>
      <c r="I69" s="10"/>
      <c r="J69" s="10"/>
    </row>
    <row r="70" spans="8:10" x14ac:dyDescent="0.5">
      <c r="H70" s="10"/>
      <c r="I70" s="10"/>
      <c r="J70" s="10"/>
    </row>
    <row r="71" spans="8:10" x14ac:dyDescent="0.5">
      <c r="H71" s="10"/>
      <c r="I71" s="10"/>
      <c r="J71" s="10"/>
    </row>
    <row r="72" spans="8:10" x14ac:dyDescent="0.5">
      <c r="H72" s="10"/>
      <c r="I72" s="10"/>
      <c r="J72" s="10"/>
    </row>
    <row r="73" spans="8:10" x14ac:dyDescent="0.5">
      <c r="H73" s="10"/>
      <c r="I73" s="10"/>
      <c r="J73" s="10"/>
    </row>
    <row r="74" spans="8:10" x14ac:dyDescent="0.5">
      <c r="H74" s="10"/>
      <c r="I74" s="10"/>
      <c r="J74" s="10"/>
    </row>
    <row r="75" spans="8:10" x14ac:dyDescent="0.5">
      <c r="H75" s="10"/>
      <c r="I75" s="10"/>
      <c r="J75" s="10"/>
    </row>
    <row r="76" spans="8:10" x14ac:dyDescent="0.5">
      <c r="H76" s="10"/>
      <c r="I76" s="10"/>
      <c r="J76" s="10"/>
    </row>
    <row r="77" spans="8:10" x14ac:dyDescent="0.5">
      <c r="H77" s="10"/>
      <c r="I77" s="10"/>
      <c r="J77" s="10"/>
    </row>
    <row r="78" spans="8:10" x14ac:dyDescent="0.5">
      <c r="H78" s="10"/>
      <c r="I78" s="10"/>
      <c r="J78" s="10"/>
    </row>
    <row r="79" spans="8:10" x14ac:dyDescent="0.5">
      <c r="H79" s="10"/>
      <c r="I79" s="10"/>
      <c r="J79" s="10"/>
    </row>
    <row r="80" spans="8:10" x14ac:dyDescent="0.5">
      <c r="H80" s="10"/>
      <c r="I80" s="10"/>
      <c r="J80" s="10"/>
    </row>
    <row r="81" spans="8:10" x14ac:dyDescent="0.5">
      <c r="H81" s="10"/>
      <c r="I81" s="10"/>
      <c r="J81" s="10"/>
    </row>
    <row r="82" spans="8:10" x14ac:dyDescent="0.5">
      <c r="H82" s="10"/>
      <c r="I82" s="10"/>
      <c r="J82" s="10"/>
    </row>
    <row r="83" spans="8:10" x14ac:dyDescent="0.5">
      <c r="H83" s="10"/>
      <c r="I83" s="10"/>
      <c r="J83" s="10"/>
    </row>
    <row r="84" spans="8:10" x14ac:dyDescent="0.5">
      <c r="H84" s="10"/>
      <c r="I84" s="10"/>
      <c r="J84" s="10"/>
    </row>
    <row r="85" spans="8:10" x14ac:dyDescent="0.5">
      <c r="H85" s="10"/>
      <c r="I85" s="10"/>
      <c r="J85" s="10"/>
    </row>
    <row r="86" spans="8:10" x14ac:dyDescent="0.5">
      <c r="H86" s="10"/>
      <c r="I86" s="10"/>
      <c r="J86" s="10"/>
    </row>
    <row r="87" spans="8:10" x14ac:dyDescent="0.5">
      <c r="H87" s="10"/>
      <c r="I87" s="10"/>
      <c r="J87" s="10"/>
    </row>
  </sheetData>
  <mergeCells count="5">
    <mergeCell ref="L2:N2"/>
    <mergeCell ref="O2:Q2"/>
    <mergeCell ref="R2:T2"/>
    <mergeCell ref="A1:K1"/>
    <mergeCell ref="L1:X1"/>
  </mergeCells>
  <conditionalFormatting sqref="J2">
    <cfRule type="cellIs" dxfId="5" priority="1" operator="greaterThan">
      <formula>0</formula>
    </cfRule>
  </conditionalFormatting>
  <conditionalFormatting sqref="J4:J42">
    <cfRule type="cellIs" dxfId="4" priority="2" operator="greaterThan">
      <formula>0</formula>
    </cfRule>
  </conditionalFormatting>
  <conditionalFormatting sqref="K4:P42">
    <cfRule type="cellIs" dxfId="3" priority="5" operator="equal">
      <formula>"Terminé"</formula>
    </cfRule>
  </conditionalFormatting>
  <conditionalFormatting sqref="R4:T42 A7:E31 G7:G42 B32:E33 A32:A45 B34 C34:E42">
    <cfRule type="cellIs" dxfId="2" priority="6" operator="equal">
      <formula>"Terminé"</formula>
    </cfRule>
  </conditionalFormatting>
  <conditionalFormatting sqref="T4:T42">
    <cfRule type="cellIs" dxfId="1" priority="4" operator="greaterThan">
      <formula>0</formula>
    </cfRule>
  </conditionalFormatting>
  <conditionalFormatting sqref="X4:X42">
    <cfRule type="cellIs" dxfId="0" priority="3" operator="greaterThan">
      <formula>0</formula>
    </cfRule>
  </conditionalFormatting>
  <dataValidations count="1">
    <dataValidation type="list" allowBlank="1" showInputMessage="1" showErrorMessage="1" sqref="K4:K42" xr:uid="{B85F03A2-8317-44D8-89A3-470C37AC8181}">
      <formula1>$Y$3:$Y$5</formula1>
    </dataValidation>
  </dataValidations>
  <pageMargins left="0.25" right="0.25" top="0.75" bottom="0.75" header="0.3" footer="0.3"/>
  <pageSetup paperSize="9" orientation="landscape" r:id="rId1"/>
  <colBreaks count="1" manualBreakCount="1">
    <brk id="11" max="1048575" man="1"/>
  </colBreak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B62953B-2163-4A83-8445-4C3076C5C570}">
          <x14:formula1>
            <xm:f>Membres!$A:$A</xm:f>
          </x14:formula1>
          <xm:sqref>B4:B42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8ACDCB-1BA1-4B3C-BB32-5E88DE878920}">
  <dimension ref="A1:D78"/>
  <sheetViews>
    <sheetView topLeftCell="A31" workbookViewId="0">
      <selection activeCell="G46" sqref="G46"/>
    </sheetView>
  </sheetViews>
  <sheetFormatPr baseColWidth="10" defaultRowHeight="14.35" x14ac:dyDescent="0.5"/>
  <cols>
    <col min="1" max="1" width="4.17578125" customWidth="1"/>
    <col min="2" max="2" width="21.05859375" customWidth="1"/>
    <col min="3" max="3" width="23.1171875" customWidth="1"/>
    <col min="4" max="4" width="20.87890625" customWidth="1"/>
  </cols>
  <sheetData>
    <row r="1" spans="1:4" x14ac:dyDescent="0.5">
      <c r="A1" s="39" t="s">
        <v>53</v>
      </c>
      <c r="B1" s="39" t="s">
        <v>57</v>
      </c>
      <c r="C1" s="39" t="s">
        <v>20</v>
      </c>
      <c r="D1" s="39" t="s">
        <v>21</v>
      </c>
    </row>
    <row r="2" spans="1:4" x14ac:dyDescent="0.5">
      <c r="A2" s="2">
        <v>1</v>
      </c>
      <c r="B2" s="2" t="s">
        <v>1</v>
      </c>
      <c r="C2" s="4">
        <v>60000</v>
      </c>
      <c r="D2" s="18">
        <v>45394</v>
      </c>
    </row>
    <row r="3" spans="1:4" x14ac:dyDescent="0.5">
      <c r="A3" s="2">
        <v>2</v>
      </c>
      <c r="B3" s="2" t="s">
        <v>5</v>
      </c>
      <c r="C3" s="4">
        <v>40000</v>
      </c>
      <c r="D3" s="18">
        <v>45402</v>
      </c>
    </row>
    <row r="4" spans="1:4" x14ac:dyDescent="0.5">
      <c r="A4" s="2">
        <v>3</v>
      </c>
      <c r="B4" s="2" t="s">
        <v>4</v>
      </c>
      <c r="C4" s="4">
        <v>20000</v>
      </c>
      <c r="D4" s="18">
        <v>45428</v>
      </c>
    </row>
    <row r="5" spans="1:4" x14ac:dyDescent="0.5">
      <c r="A5" s="2">
        <v>4</v>
      </c>
      <c r="B5" s="2" t="s">
        <v>4</v>
      </c>
      <c r="C5" s="4">
        <v>1020000</v>
      </c>
      <c r="D5" s="18">
        <v>45448</v>
      </c>
    </row>
    <row r="6" spans="1:4" x14ac:dyDescent="0.5">
      <c r="A6" s="2">
        <v>5</v>
      </c>
      <c r="B6" s="2" t="s">
        <v>1</v>
      </c>
      <c r="C6" s="4">
        <v>3060000</v>
      </c>
      <c r="D6" s="18">
        <v>45454</v>
      </c>
    </row>
    <row r="7" spans="1:4" x14ac:dyDescent="0.5">
      <c r="A7" s="2">
        <v>6</v>
      </c>
      <c r="B7" s="2" t="s">
        <v>5</v>
      </c>
      <c r="C7" s="4">
        <v>2040000</v>
      </c>
      <c r="D7" s="18">
        <v>45457</v>
      </c>
    </row>
    <row r="8" spans="1:4" x14ac:dyDescent="0.5">
      <c r="A8" s="2">
        <v>7</v>
      </c>
      <c r="B8" s="2" t="s">
        <v>1</v>
      </c>
      <c r="C8" s="4">
        <v>30000</v>
      </c>
      <c r="D8" s="18">
        <v>45492</v>
      </c>
    </row>
    <row r="9" spans="1:4" x14ac:dyDescent="0.5">
      <c r="A9" s="2">
        <v>8</v>
      </c>
      <c r="B9" s="2" t="s">
        <v>10</v>
      </c>
      <c r="C9" s="4">
        <v>40000</v>
      </c>
      <c r="D9" s="18">
        <v>45476</v>
      </c>
    </row>
    <row r="10" spans="1:4" x14ac:dyDescent="0.5">
      <c r="A10" s="2">
        <v>9</v>
      </c>
      <c r="B10" s="2" t="s">
        <v>1</v>
      </c>
      <c r="C10" s="4">
        <v>30000</v>
      </c>
      <c r="D10" s="18">
        <v>45492</v>
      </c>
    </row>
    <row r="11" spans="1:4" x14ac:dyDescent="0.5">
      <c r="A11" s="2">
        <v>10</v>
      </c>
      <c r="B11" s="2" t="s">
        <v>1</v>
      </c>
      <c r="C11" s="4">
        <v>1530000</v>
      </c>
      <c r="D11" s="18">
        <v>45554</v>
      </c>
    </row>
    <row r="12" spans="1:4" x14ac:dyDescent="0.5">
      <c r="A12" s="2">
        <v>11</v>
      </c>
      <c r="B12" s="2" t="s">
        <v>5</v>
      </c>
      <c r="C12" s="4">
        <v>1443500</v>
      </c>
      <c r="D12" s="18">
        <v>45549</v>
      </c>
    </row>
    <row r="13" spans="1:4" x14ac:dyDescent="0.5">
      <c r="A13" s="2">
        <v>12</v>
      </c>
      <c r="B13" s="2" t="s">
        <v>2</v>
      </c>
      <c r="C13" s="4">
        <v>2120000</v>
      </c>
      <c r="D13" s="18">
        <v>45553</v>
      </c>
    </row>
    <row r="14" spans="1:4" x14ac:dyDescent="0.5">
      <c r="A14" s="2">
        <v>13</v>
      </c>
      <c r="B14" s="2" t="s">
        <v>10</v>
      </c>
      <c r="C14" s="4">
        <v>580000</v>
      </c>
      <c r="D14" s="18">
        <v>45554</v>
      </c>
    </row>
    <row r="15" spans="1:4" x14ac:dyDescent="0.5">
      <c r="A15" s="2">
        <v>14</v>
      </c>
      <c r="B15" s="2" t="s">
        <v>3</v>
      </c>
      <c r="C15" s="4">
        <v>1790000</v>
      </c>
      <c r="D15" s="18">
        <v>45572</v>
      </c>
    </row>
    <row r="16" spans="1:4" x14ac:dyDescent="0.5">
      <c r="A16" s="2">
        <v>15</v>
      </c>
      <c r="B16" s="2" t="s">
        <v>1</v>
      </c>
      <c r="C16" s="4">
        <v>30000</v>
      </c>
      <c r="D16" s="18">
        <v>45586</v>
      </c>
    </row>
    <row r="17" spans="1:4" x14ac:dyDescent="0.5">
      <c r="A17" s="2">
        <v>16</v>
      </c>
      <c r="B17" s="2" t="s">
        <v>5</v>
      </c>
      <c r="C17" s="4">
        <v>40000</v>
      </c>
      <c r="D17" s="18">
        <v>45588</v>
      </c>
    </row>
    <row r="18" spans="1:4" x14ac:dyDescent="0.5">
      <c r="A18" s="2">
        <v>17</v>
      </c>
      <c r="B18" s="2" t="s">
        <v>10</v>
      </c>
      <c r="C18" s="4">
        <v>1560000</v>
      </c>
      <c r="D18" s="18">
        <v>45595</v>
      </c>
    </row>
    <row r="19" spans="1:4" x14ac:dyDescent="0.5">
      <c r="A19" s="2">
        <v>18</v>
      </c>
      <c r="B19" s="2" t="s">
        <v>1</v>
      </c>
      <c r="C19" s="4">
        <v>30000</v>
      </c>
      <c r="D19" s="18">
        <v>45618</v>
      </c>
    </row>
    <row r="20" spans="1:4" x14ac:dyDescent="0.5">
      <c r="A20" s="2">
        <v>19</v>
      </c>
      <c r="B20" s="2" t="s">
        <v>5</v>
      </c>
      <c r="C20" s="4">
        <v>40000</v>
      </c>
      <c r="D20" s="18">
        <v>45621</v>
      </c>
    </row>
    <row r="21" spans="1:4" x14ac:dyDescent="0.5">
      <c r="A21" s="2">
        <v>20</v>
      </c>
      <c r="B21" s="2" t="s">
        <v>5</v>
      </c>
      <c r="C21" s="4">
        <v>2040000</v>
      </c>
      <c r="D21" s="18">
        <v>45649</v>
      </c>
    </row>
    <row r="22" spans="1:4" x14ac:dyDescent="0.5">
      <c r="A22" s="2">
        <v>21</v>
      </c>
      <c r="B22" s="2" t="s">
        <v>2</v>
      </c>
      <c r="C22" s="4">
        <v>2120000</v>
      </c>
      <c r="D22" s="18">
        <v>45649</v>
      </c>
    </row>
    <row r="23" spans="1:4" x14ac:dyDescent="0.5">
      <c r="A23" s="2">
        <v>22</v>
      </c>
      <c r="B23" s="2" t="s">
        <v>1</v>
      </c>
      <c r="C23" s="4">
        <v>1530000</v>
      </c>
      <c r="D23" s="18">
        <v>45649</v>
      </c>
    </row>
    <row r="24" spans="1:4" x14ac:dyDescent="0.5">
      <c r="A24" s="2">
        <v>23</v>
      </c>
      <c r="B24" s="2" t="s">
        <v>3</v>
      </c>
      <c r="C24" s="4">
        <v>1060000</v>
      </c>
      <c r="D24" s="18">
        <v>45681</v>
      </c>
    </row>
    <row r="25" spans="1:4" x14ac:dyDescent="0.5">
      <c r="A25" s="2">
        <v>24</v>
      </c>
      <c r="B25" s="2" t="s">
        <v>1</v>
      </c>
      <c r="C25" s="4">
        <v>40000</v>
      </c>
      <c r="D25" s="18">
        <v>45684</v>
      </c>
    </row>
    <row r="26" spans="1:4" x14ac:dyDescent="0.5">
      <c r="A26" s="2">
        <v>25</v>
      </c>
      <c r="B26" s="2" t="s">
        <v>5</v>
      </c>
      <c r="C26" s="4">
        <v>40000</v>
      </c>
      <c r="D26" s="18">
        <v>45698</v>
      </c>
    </row>
    <row r="27" spans="1:4" x14ac:dyDescent="0.5">
      <c r="A27" s="2">
        <v>26</v>
      </c>
      <c r="B27" s="2" t="s">
        <v>10</v>
      </c>
      <c r="C27" s="4">
        <v>2120000</v>
      </c>
      <c r="D27" s="18">
        <v>45701</v>
      </c>
    </row>
    <row r="28" spans="1:4" x14ac:dyDescent="0.5">
      <c r="A28" s="2">
        <v>27</v>
      </c>
      <c r="B28" s="2" t="s">
        <v>2</v>
      </c>
      <c r="C28" s="4">
        <v>2120000</v>
      </c>
      <c r="D28" s="18">
        <v>45707</v>
      </c>
    </row>
    <row r="29" spans="1:4" x14ac:dyDescent="0.5">
      <c r="A29" s="2">
        <v>28</v>
      </c>
      <c r="B29" s="2" t="s">
        <v>1</v>
      </c>
      <c r="C29" s="4">
        <v>40000</v>
      </c>
      <c r="D29" s="18">
        <v>45719</v>
      </c>
    </row>
    <row r="30" spans="1:4" x14ac:dyDescent="0.5">
      <c r="A30" s="2">
        <v>29</v>
      </c>
      <c r="B30" s="2" t="s">
        <v>4</v>
      </c>
      <c r="C30" s="4">
        <v>20000</v>
      </c>
      <c r="D30" s="18">
        <v>45735</v>
      </c>
    </row>
    <row r="31" spans="1:4" x14ac:dyDescent="0.5">
      <c r="A31" s="2">
        <v>30</v>
      </c>
      <c r="B31" s="2" t="s">
        <v>5</v>
      </c>
      <c r="C31" s="4">
        <v>2040000</v>
      </c>
      <c r="D31" s="18">
        <v>45745</v>
      </c>
    </row>
    <row r="32" spans="1:4" x14ac:dyDescent="0.5">
      <c r="A32" s="2">
        <v>31</v>
      </c>
      <c r="B32" s="2" t="s">
        <v>1</v>
      </c>
      <c r="C32" s="4">
        <v>2040000</v>
      </c>
      <c r="D32" s="18">
        <v>45748</v>
      </c>
    </row>
    <row r="33" spans="1:4" x14ac:dyDescent="0.5">
      <c r="A33" s="2">
        <v>32</v>
      </c>
      <c r="B33" s="2" t="s">
        <v>5</v>
      </c>
      <c r="C33" s="4">
        <v>40000</v>
      </c>
      <c r="D33" s="18">
        <v>45773</v>
      </c>
    </row>
    <row r="34" spans="1:4" x14ac:dyDescent="0.5">
      <c r="A34" s="2">
        <v>33</v>
      </c>
      <c r="B34" s="2" t="s">
        <v>1</v>
      </c>
      <c r="C34" s="4">
        <v>40000</v>
      </c>
      <c r="D34" s="18">
        <v>45782</v>
      </c>
    </row>
    <row r="35" spans="1:4" x14ac:dyDescent="0.5">
      <c r="A35" s="2">
        <v>34</v>
      </c>
      <c r="B35" s="2" t="s">
        <v>10</v>
      </c>
      <c r="C35" s="4">
        <v>2120000</v>
      </c>
      <c r="D35" s="18">
        <v>45790</v>
      </c>
    </row>
    <row r="36" spans="1:4" x14ac:dyDescent="0.5">
      <c r="A36" s="2">
        <v>35</v>
      </c>
      <c r="B36" s="2" t="s">
        <v>4</v>
      </c>
      <c r="C36" s="4">
        <v>1040000</v>
      </c>
      <c r="D36" s="18">
        <v>45798</v>
      </c>
    </row>
    <row r="37" spans="1:4" x14ac:dyDescent="0.5">
      <c r="A37" s="2">
        <v>36</v>
      </c>
      <c r="B37" s="2" t="s">
        <v>1</v>
      </c>
      <c r="C37" s="4">
        <v>40000</v>
      </c>
      <c r="D37" s="18">
        <v>45817</v>
      </c>
    </row>
    <row r="38" spans="1:4" x14ac:dyDescent="0.5">
      <c r="A38" s="2">
        <v>37</v>
      </c>
      <c r="B38" s="2" t="s">
        <v>5</v>
      </c>
      <c r="C38" s="4">
        <v>2040000</v>
      </c>
      <c r="D38" s="18">
        <v>45839</v>
      </c>
    </row>
    <row r="39" spans="1:4" x14ac:dyDescent="0.5">
      <c r="A39" s="2">
        <v>38</v>
      </c>
      <c r="B39" s="2" t="s">
        <v>1</v>
      </c>
      <c r="C39" s="4">
        <v>2040000</v>
      </c>
      <c r="D39" s="18">
        <v>45845</v>
      </c>
    </row>
    <row r="40" spans="1:4" x14ac:dyDescent="0.5">
      <c r="A40" s="2">
        <v>39</v>
      </c>
      <c r="B40" s="2" t="s">
        <v>2</v>
      </c>
      <c r="C40" s="4">
        <v>2120000</v>
      </c>
      <c r="D40" s="18">
        <v>45797</v>
      </c>
    </row>
    <row r="41" spans="1:4" x14ac:dyDescent="0.5">
      <c r="A41" s="2">
        <v>40</v>
      </c>
      <c r="B41" s="2" t="s">
        <v>4</v>
      </c>
      <c r="C41" s="4">
        <v>1060000</v>
      </c>
      <c r="D41" s="18">
        <v>45876</v>
      </c>
    </row>
    <row r="42" spans="1:4" x14ac:dyDescent="0.5">
      <c r="A42" s="2">
        <v>41</v>
      </c>
      <c r="B42" s="2" t="s">
        <v>1</v>
      </c>
      <c r="C42" s="4">
        <v>40000</v>
      </c>
      <c r="D42" s="18">
        <v>45880</v>
      </c>
    </row>
    <row r="43" spans="1:4" x14ac:dyDescent="0.5">
      <c r="A43" s="2">
        <v>42</v>
      </c>
      <c r="B43" s="2" t="s">
        <v>10</v>
      </c>
      <c r="C43" s="4">
        <v>3180000</v>
      </c>
      <c r="D43" s="18">
        <v>45888</v>
      </c>
    </row>
    <row r="44" spans="1:4" x14ac:dyDescent="0.5">
      <c r="A44" s="2">
        <v>43</v>
      </c>
      <c r="B44" s="2" t="s">
        <v>2</v>
      </c>
      <c r="C44" s="4">
        <v>2120000</v>
      </c>
      <c r="D44" s="18">
        <v>45890</v>
      </c>
    </row>
    <row r="45" spans="1:4" x14ac:dyDescent="0.5">
      <c r="A45" s="2">
        <v>44</v>
      </c>
      <c r="B45" s="2" t="s">
        <v>1</v>
      </c>
      <c r="C45" s="4">
        <v>40000</v>
      </c>
      <c r="D45" s="18">
        <v>45912</v>
      </c>
    </row>
    <row r="46" spans="1:4" x14ac:dyDescent="0.5">
      <c r="A46" s="2">
        <v>45</v>
      </c>
      <c r="B46" s="2" t="s">
        <v>5</v>
      </c>
      <c r="C46" s="4">
        <v>2120000</v>
      </c>
      <c r="D46" s="18">
        <v>45928</v>
      </c>
    </row>
    <row r="47" spans="1:4" x14ac:dyDescent="0.5">
      <c r="A47" s="2">
        <v>46</v>
      </c>
      <c r="B47" s="2" t="s">
        <v>1</v>
      </c>
      <c r="C47" s="4">
        <v>40000</v>
      </c>
      <c r="D47" s="18">
        <v>45951</v>
      </c>
    </row>
    <row r="48" spans="1:4" x14ac:dyDescent="0.5">
      <c r="A48" s="2">
        <v>47</v>
      </c>
      <c r="B48" s="2" t="s">
        <v>1</v>
      </c>
      <c r="C48" s="4">
        <v>2040000</v>
      </c>
      <c r="D48" s="18">
        <v>45972</v>
      </c>
    </row>
    <row r="49" spans="1:4" x14ac:dyDescent="0.5">
      <c r="A49" s="2">
        <v>48</v>
      </c>
      <c r="B49" s="2" t="s">
        <v>4</v>
      </c>
      <c r="C49" s="4">
        <v>1100000</v>
      </c>
      <c r="D49" s="18">
        <v>45985</v>
      </c>
    </row>
    <row r="50" spans="1:4" x14ac:dyDescent="0.5">
      <c r="A50" s="2">
        <v>49</v>
      </c>
      <c r="B50" s="2" t="s">
        <v>2</v>
      </c>
      <c r="C50" s="4">
        <v>2120000</v>
      </c>
      <c r="D50" s="18">
        <v>45985</v>
      </c>
    </row>
    <row r="51" spans="1:4" x14ac:dyDescent="0.5">
      <c r="A51" s="2">
        <v>50</v>
      </c>
      <c r="B51" s="2" t="s">
        <v>10</v>
      </c>
      <c r="C51" s="4">
        <v>3180000</v>
      </c>
      <c r="D51" s="18">
        <v>45988</v>
      </c>
    </row>
    <row r="52" spans="1:4" x14ac:dyDescent="0.5">
      <c r="A52" s="2">
        <v>51</v>
      </c>
      <c r="B52" s="2" t="s">
        <v>1</v>
      </c>
      <c r="C52" s="4">
        <v>2600000</v>
      </c>
      <c r="D52" s="18">
        <v>46069</v>
      </c>
    </row>
    <row r="53" spans="1:4" x14ac:dyDescent="0.5">
      <c r="A53" s="2">
        <v>52</v>
      </c>
      <c r="B53" s="2" t="s">
        <v>4</v>
      </c>
      <c r="C53" s="4">
        <v>1590000</v>
      </c>
      <c r="D53" s="18">
        <v>46076</v>
      </c>
    </row>
    <row r="54" spans="1:4" x14ac:dyDescent="0.5">
      <c r="A54" s="2">
        <v>53</v>
      </c>
      <c r="B54" s="2" t="s">
        <v>2</v>
      </c>
      <c r="C54" s="4">
        <v>2120000</v>
      </c>
      <c r="D54" s="18">
        <v>46081</v>
      </c>
    </row>
    <row r="55" spans="1:4" x14ac:dyDescent="0.5">
      <c r="A55" s="2">
        <v>54</v>
      </c>
      <c r="B55" s="2" t="s">
        <v>10</v>
      </c>
      <c r="C55" s="4">
        <v>3180000</v>
      </c>
      <c r="D55" s="18">
        <v>46093</v>
      </c>
    </row>
    <row r="56" spans="1:4" x14ac:dyDescent="0.5">
      <c r="A56" s="2">
        <v>55</v>
      </c>
      <c r="B56" s="2" t="s">
        <v>5</v>
      </c>
      <c r="C56" s="4">
        <v>2120000</v>
      </c>
      <c r="D56" s="18">
        <v>46113</v>
      </c>
    </row>
    <row r="57" spans="1:4" x14ac:dyDescent="0.5">
      <c r="A57" s="2">
        <v>56</v>
      </c>
      <c r="B57" s="2"/>
      <c r="C57" s="4"/>
      <c r="D57" s="18"/>
    </row>
    <row r="58" spans="1:4" x14ac:dyDescent="0.5">
      <c r="A58" s="2">
        <v>57</v>
      </c>
      <c r="B58" s="2"/>
      <c r="C58" s="4"/>
      <c r="D58" s="18"/>
    </row>
    <row r="59" spans="1:4" x14ac:dyDescent="0.5">
      <c r="A59" s="2">
        <v>58</v>
      </c>
      <c r="B59" s="2"/>
      <c r="C59" s="4"/>
      <c r="D59" s="18"/>
    </row>
    <row r="60" spans="1:4" x14ac:dyDescent="0.5">
      <c r="A60" s="2">
        <v>59</v>
      </c>
      <c r="B60" s="2"/>
      <c r="C60" s="4"/>
      <c r="D60" s="18"/>
    </row>
    <row r="61" spans="1:4" x14ac:dyDescent="0.5">
      <c r="A61" s="2">
        <v>60</v>
      </c>
      <c r="B61" s="2"/>
      <c r="C61" s="4"/>
      <c r="D61" s="18"/>
    </row>
    <row r="62" spans="1:4" x14ac:dyDescent="0.5">
      <c r="A62" s="2"/>
      <c r="B62" s="2"/>
      <c r="C62" s="2"/>
      <c r="D62" s="2"/>
    </row>
    <row r="63" spans="1:4" x14ac:dyDescent="0.5">
      <c r="A63" s="2"/>
      <c r="B63" s="2"/>
      <c r="C63" s="2"/>
      <c r="D63" s="2"/>
    </row>
    <row r="64" spans="1:4" x14ac:dyDescent="0.5">
      <c r="A64" s="2"/>
      <c r="B64" s="2"/>
      <c r="C64" s="2"/>
      <c r="D64" s="2"/>
    </row>
    <row r="65" spans="1:4" x14ac:dyDescent="0.5">
      <c r="A65" s="2"/>
      <c r="B65" s="2"/>
      <c r="C65" s="2"/>
      <c r="D65" s="2"/>
    </row>
    <row r="66" spans="1:4" x14ac:dyDescent="0.5">
      <c r="A66" s="2"/>
      <c r="B66" s="2"/>
      <c r="C66" s="2"/>
      <c r="D66" s="2"/>
    </row>
    <row r="67" spans="1:4" x14ac:dyDescent="0.5">
      <c r="A67" s="2"/>
      <c r="B67" s="2"/>
      <c r="C67" s="2"/>
      <c r="D67" s="2"/>
    </row>
    <row r="68" spans="1:4" x14ac:dyDescent="0.5">
      <c r="A68" s="2"/>
      <c r="B68" s="2"/>
      <c r="C68" s="2"/>
      <c r="D68" s="2"/>
    </row>
    <row r="69" spans="1:4" x14ac:dyDescent="0.5">
      <c r="A69" s="2"/>
      <c r="B69" s="2"/>
      <c r="C69" s="2"/>
      <c r="D69" s="2"/>
    </row>
    <row r="70" spans="1:4" x14ac:dyDescent="0.5">
      <c r="A70" s="2"/>
      <c r="B70" s="2"/>
      <c r="C70" s="2"/>
      <c r="D70" s="2"/>
    </row>
    <row r="71" spans="1:4" x14ac:dyDescent="0.5">
      <c r="A71" s="2"/>
      <c r="B71" s="2"/>
      <c r="C71" s="2"/>
      <c r="D71" s="2"/>
    </row>
    <row r="72" spans="1:4" x14ac:dyDescent="0.5">
      <c r="A72" s="2"/>
      <c r="B72" s="2"/>
      <c r="C72" s="2"/>
      <c r="D72" s="2"/>
    </row>
    <row r="73" spans="1:4" x14ac:dyDescent="0.5">
      <c r="A73" s="2"/>
      <c r="B73" s="2"/>
      <c r="C73" s="2"/>
      <c r="D73" s="2"/>
    </row>
    <row r="74" spans="1:4" x14ac:dyDescent="0.5">
      <c r="A74" s="2"/>
      <c r="B74" s="2"/>
      <c r="C74" s="2"/>
      <c r="D74" s="2"/>
    </row>
    <row r="75" spans="1:4" x14ac:dyDescent="0.5">
      <c r="A75" s="2"/>
      <c r="B75" s="2"/>
      <c r="C75" s="2"/>
      <c r="D75" s="2"/>
    </row>
    <row r="76" spans="1:4" x14ac:dyDescent="0.5">
      <c r="A76" s="2"/>
      <c r="B76" s="2"/>
      <c r="C76" s="2"/>
      <c r="D76" s="2"/>
    </row>
    <row r="77" spans="1:4" x14ac:dyDescent="0.5">
      <c r="A77" s="2"/>
      <c r="B77" s="2"/>
      <c r="C77" s="2"/>
      <c r="D77" s="2"/>
    </row>
    <row r="78" spans="1:4" x14ac:dyDescent="0.5">
      <c r="A78" s="2"/>
      <c r="B78" s="2"/>
      <c r="C78" s="2"/>
      <c r="D78" s="2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1983E28-B161-4A52-8FF7-AF9D5639678D}">
          <x14:formula1>
            <xm:f>Membres!$A:$A</xm:f>
          </x14:formula1>
          <xm:sqref>B2:B61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968815-5BE6-47AD-8298-4363E4EADDD7}">
  <dimension ref="A1:D1"/>
  <sheetViews>
    <sheetView workbookViewId="0"/>
  </sheetViews>
  <sheetFormatPr baseColWidth="10" defaultRowHeight="14.35" x14ac:dyDescent="0.5"/>
  <sheetData>
    <row r="1" spans="1:4" x14ac:dyDescent="0.5">
      <c r="A1" s="13">
        <v>0.02</v>
      </c>
      <c r="B1" s="13">
        <v>0.04</v>
      </c>
      <c r="C1" s="13">
        <v>0.02</v>
      </c>
      <c r="D1">
        <v>3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86065B-79FF-4376-B923-A6F57E7D11DF}">
  <dimension ref="A1:I8"/>
  <sheetViews>
    <sheetView workbookViewId="0">
      <selection activeCell="C7" sqref="C7"/>
    </sheetView>
  </sheetViews>
  <sheetFormatPr baseColWidth="10" defaultRowHeight="14.35" x14ac:dyDescent="0.5"/>
  <cols>
    <col min="1" max="1" width="21.76171875" customWidth="1"/>
    <col min="2" max="2" width="23.3515625" customWidth="1"/>
    <col min="3" max="3" width="24.41015625" customWidth="1"/>
    <col min="4" max="4" width="23.29296875" customWidth="1"/>
    <col min="5" max="5" width="26.9375" customWidth="1"/>
    <col min="6" max="6" width="24.05859375" customWidth="1"/>
    <col min="7" max="7" width="22.64453125" customWidth="1"/>
    <col min="8" max="8" width="16.5859375" customWidth="1"/>
  </cols>
  <sheetData>
    <row r="1" spans="1:9" x14ac:dyDescent="0.5">
      <c r="A1" s="15" t="s">
        <v>7</v>
      </c>
      <c r="B1" s="15" t="s">
        <v>0</v>
      </c>
      <c r="C1" s="15" t="s">
        <v>1</v>
      </c>
      <c r="D1" s="15" t="s">
        <v>2</v>
      </c>
      <c r="E1" s="15" t="s">
        <v>3</v>
      </c>
      <c r="F1" s="15" t="s">
        <v>4</v>
      </c>
      <c r="G1" s="15" t="s">
        <v>5</v>
      </c>
      <c r="H1" s="15" t="s">
        <v>10</v>
      </c>
      <c r="I1" s="9"/>
    </row>
    <row r="2" spans="1:9" x14ac:dyDescent="0.5">
      <c r="A2" s="16" t="s">
        <v>37</v>
      </c>
      <c r="B2" s="17">
        <f>SUM(B3:B38)</f>
        <v>1000000</v>
      </c>
      <c r="C2" s="17">
        <f t="shared" ref="C2:H2" si="0">SUM(C3:C38)</f>
        <v>1000000</v>
      </c>
      <c r="D2" s="17">
        <f t="shared" si="0"/>
        <v>1000000</v>
      </c>
      <c r="E2" s="17">
        <f t="shared" si="0"/>
        <v>1000000</v>
      </c>
      <c r="F2" s="17">
        <f t="shared" si="0"/>
        <v>1000000</v>
      </c>
      <c r="G2" s="17">
        <f t="shared" si="0"/>
        <v>2000000</v>
      </c>
      <c r="H2" s="17">
        <f t="shared" si="0"/>
        <v>1000000</v>
      </c>
    </row>
    <row r="3" spans="1:9" x14ac:dyDescent="0.5">
      <c r="A3" s="11">
        <v>44867</v>
      </c>
      <c r="B3" s="10">
        <v>1000000</v>
      </c>
    </row>
    <row r="4" spans="1:9" x14ac:dyDescent="0.5">
      <c r="A4" s="11">
        <v>44893</v>
      </c>
      <c r="C4" s="10">
        <v>1000000</v>
      </c>
      <c r="D4" s="10">
        <v>1000000</v>
      </c>
    </row>
    <row r="5" spans="1:9" x14ac:dyDescent="0.5">
      <c r="A5" s="11">
        <v>44895</v>
      </c>
      <c r="E5" s="10">
        <v>1000000</v>
      </c>
    </row>
    <row r="6" spans="1:9" x14ac:dyDescent="0.5">
      <c r="A6" s="11">
        <v>44904</v>
      </c>
      <c r="F6" s="10">
        <v>1000000</v>
      </c>
    </row>
    <row r="7" spans="1:9" x14ac:dyDescent="0.5">
      <c r="A7" s="11">
        <v>44953</v>
      </c>
      <c r="G7" s="10">
        <v>2000000</v>
      </c>
    </row>
    <row r="8" spans="1:9" x14ac:dyDescent="0.5">
      <c r="A8" s="11">
        <v>45362</v>
      </c>
      <c r="H8" s="10">
        <v>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7</vt:i4>
      </vt:variant>
    </vt:vector>
  </HeadingPairs>
  <TitlesOfParts>
    <vt:vector size="7" baseType="lpstr">
      <vt:lpstr>VERSEMENT</vt:lpstr>
      <vt:lpstr>Dashboard</vt:lpstr>
      <vt:lpstr>Membres</vt:lpstr>
      <vt:lpstr>Prêts</vt:lpstr>
      <vt:lpstr>Remboursements</vt:lpstr>
      <vt:lpstr>Paramètres</vt:lpstr>
      <vt:lpstr>Cotisations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 TAMPOLLA</dc:creator>
  <cp:lastModifiedBy>serge TAMPOLLA</cp:lastModifiedBy>
  <cp:lastPrinted>2025-02-16T20:00:02Z</cp:lastPrinted>
  <dcterms:created xsi:type="dcterms:W3CDTF">2024-04-25T08:24:44Z</dcterms:created>
  <dcterms:modified xsi:type="dcterms:W3CDTF">2026-05-04T15:29:26Z</dcterms:modified>
</cp:coreProperties>
</file>